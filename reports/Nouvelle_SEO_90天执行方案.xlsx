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行动清单 Action Plan" sheetId="1" state="visible" r:id="rId3"/>
    <sheet name="关键词地图 Keyword Map" sheetId="2" state="visible" r:id="rId4"/>
    <sheet name="每周追踪 Weekly Tracker" sheetId="3" state="visible" r:id="rId5"/>
    <sheet name="诊断数据 Diagnosis" sheetId="4" state="visible" r:id="rId6"/>
  </sheets>
  <definedNames>
    <definedName function="false" hidden="true" localSheetId="1" name="_xlnm._FilterDatabase" vbProcedure="false">'关键词地图 Keyword Map'!$A$1:$J$48</definedName>
    <definedName function="false" hidden="true" localSheetId="0" name="_xlnm._FilterDatabase" vbProcedure="false">'行动清单 Action Plan'!$A$1:$K$60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<sst xmlns="http://schemas.openxmlformats.org/spreadsheetml/2006/main" count="1401" uniqueCount="770">
  <si>
    <t xml:space="preserve">ID</t>
  </si>
  <si>
    <t xml:space="preserve">优先级</t>
  </si>
  <si>
    <t xml:space="preserve">阶段</t>
  </si>
  <si>
    <t xml:space="preserve">类别</t>
  </si>
  <si>
    <t xml:space="preserve">动作</t>
  </si>
  <si>
    <r>
      <rPr>
        <b val="true"/>
        <sz val="10"/>
        <color rgb="FFFFFFFF"/>
        <rFont val="Noto Sans CJK SC"/>
        <family val="2"/>
      </rPr>
      <t xml:space="preserve">为什么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数据依据</t>
    </r>
  </si>
  <si>
    <t xml:space="preserve">在哪里改</t>
  </si>
  <si>
    <t xml:space="preserve">预计工时</t>
  </si>
  <si>
    <t xml:space="preserve">负责人</t>
  </si>
  <si>
    <t xml:space="preserve">状态</t>
  </si>
  <si>
    <t xml:space="preserve">完成日期</t>
  </si>
  <si>
    <t xml:space="preserve">A01</t>
  </si>
  <si>
    <t xml:space="preserve">P0</t>
  </si>
  <si>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小时</t>
    </r>
  </si>
  <si>
    <t xml:space="preserve">转化</t>
  </si>
  <si>
    <r>
      <rPr>
        <sz val="10"/>
        <rFont val="Noto Sans CJK SC"/>
        <family val="2"/>
      </rPr>
      <t xml:space="preserve">全站 </t>
    </r>
    <r>
      <rPr>
        <sz val="10"/>
        <rFont val="Arial"/>
        <family val="0"/>
        <charset val="1"/>
      </rPr>
      <t xml:space="preserve">wa.me/c/6591098102 → wa.me/6591098102?text=&lt;</t>
    </r>
    <r>
      <rPr>
        <sz val="10"/>
        <rFont val="Noto Sans CJK SC"/>
        <family val="2"/>
      </rPr>
      <t xml:space="preserve">预填</t>
    </r>
    <r>
      <rPr>
        <sz val="10"/>
        <rFont val="Arial"/>
        <family val="0"/>
        <charset val="1"/>
      </rPr>
      <t xml:space="preserve">&gt;&amp;[REF:xxx]</t>
    </r>
  </si>
  <si>
    <r>
      <rPr>
        <sz val="10"/>
        <rFont val="Noto Sans CJK SC"/>
        <family val="2"/>
      </rPr>
      <t xml:space="preserve">实测 </t>
    </r>
    <r>
      <rPr>
        <sz val="10"/>
        <rFont val="Arial"/>
        <family val="0"/>
        <charset val="1"/>
      </rPr>
      <t xml:space="preserve">28+ </t>
    </r>
    <r>
      <rPr>
        <sz val="10"/>
        <rFont val="Noto Sans CJK SC"/>
        <family val="2"/>
      </rPr>
      <t xml:space="preserve">处 </t>
    </r>
    <r>
      <rPr>
        <sz val="10"/>
        <rFont val="Arial"/>
        <family val="0"/>
        <charset val="1"/>
      </rPr>
      <t xml:space="preserve">CTA </t>
    </r>
    <r>
      <rPr>
        <sz val="10"/>
        <rFont val="Noto Sans CJK SC"/>
        <family val="2"/>
      </rPr>
      <t xml:space="preserve">全部指向 </t>
    </r>
    <r>
      <rPr>
        <sz val="10"/>
        <rFont val="Arial"/>
        <family val="0"/>
        <charset val="1"/>
      </rPr>
      <t xml:space="preserve">WhatsApp </t>
    </r>
    <r>
      <rPr>
        <sz val="10"/>
        <rFont val="Noto Sans CJK SC"/>
        <family val="2"/>
      </rPr>
      <t xml:space="preserve">产品目录页，落地页无聊天框无预填消息。首页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处</t>
    </r>
    <r>
      <rPr>
        <sz val="10"/>
        <rFont val="Arial"/>
        <family val="0"/>
        <charset val="1"/>
      </rPr>
      <t xml:space="preserve">/contact-us 6</t>
    </r>
    <r>
      <rPr>
        <sz val="10"/>
        <rFont val="Noto Sans CJK SC"/>
        <family val="2"/>
      </rPr>
      <t xml:space="preserve">处</t>
    </r>
    <r>
      <rPr>
        <sz val="10"/>
        <rFont val="Arial"/>
        <family val="0"/>
        <charset val="1"/>
      </rPr>
      <t xml:space="preserve">/reinstatement 7</t>
    </r>
    <r>
      <rPr>
        <sz val="10"/>
        <rFont val="Noto Sans CJK SC"/>
        <family val="2"/>
      </rPr>
      <t xml:space="preserve">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成本指南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处。全案单点影响最大。</t>
    </r>
  </si>
  <si>
    <r>
      <rPr>
        <sz val="10"/>
        <rFont val="Arial"/>
        <family val="0"/>
        <charset val="1"/>
      </rPr>
      <t xml:space="preserve">WP: Elementor </t>
    </r>
    <r>
      <rPr>
        <sz val="10"/>
        <rFont val="Noto Sans CJK SC"/>
        <family val="2"/>
      </rPr>
      <t xml:space="preserve">全局按钮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各页</t>
    </r>
  </si>
  <si>
    <t xml:space="preserve">0.5h</t>
  </si>
  <si>
    <t xml:space="preserve">未开始</t>
  </si>
  <si>
    <t xml:space="preserve">A02</t>
  </si>
  <si>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WhatsApp Business </t>
    </r>
    <r>
      <rPr>
        <sz val="10"/>
        <rFont val="Noto Sans CJK SC"/>
        <family val="2"/>
      </rPr>
      <t xml:space="preserve">档案显示名 </t>
    </r>
    <r>
      <rPr>
        <sz val="10"/>
        <rFont val="Arial"/>
        <family val="0"/>
        <charset val="1"/>
      </rPr>
      <t xml:space="preserve">jamesliang yicheng → Nouvelle Workz Pte Ltd</t>
    </r>
  </si>
  <si>
    <r>
      <rPr>
        <sz val="10"/>
        <rFont val="Noto Sans CJK SC"/>
        <family val="2"/>
      </rPr>
      <t xml:space="preserve">目录页标题实测为 </t>
    </r>
    <r>
      <rPr>
        <sz val="10"/>
        <rFont val="Arial"/>
        <family val="0"/>
        <charset val="1"/>
      </rPr>
      <t xml:space="preserve">'View jamesliang yicheng's Catalog on WhatsApp'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B2B </t>
    </r>
    <r>
      <rPr>
        <sz val="10"/>
        <rFont val="Noto Sans CJK SC"/>
        <family val="2"/>
      </rPr>
      <t xml:space="preserve">客户看到私人姓名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信任崩塌。</t>
    </r>
  </si>
  <si>
    <t xml:space="preserve">WhatsApp Business App</t>
  </si>
  <si>
    <t xml:space="preserve">0.2h</t>
  </si>
  <si>
    <t xml:space="preserve">A03</t>
  </si>
  <si>
    <r>
      <rPr>
        <sz val="10"/>
        <rFont val="Noto Sans CJK SC"/>
        <family val="2"/>
      </rPr>
      <t xml:space="preserve">全站号码加 </t>
    </r>
    <r>
      <rPr>
        <sz val="10"/>
        <rFont val="Arial"/>
        <family val="0"/>
        <charset val="1"/>
      </rPr>
      <t xml:space="preserve">tel:+6591098102 + </t>
    </r>
    <r>
      <rPr>
        <sz val="10"/>
        <rFont val="Noto Sans CJK SC"/>
        <family val="2"/>
      </rPr>
      <t xml:space="preserve">移动端固定底部条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拨打</t>
    </r>
    <r>
      <rPr>
        <sz val="10"/>
        <rFont val="Arial"/>
        <family val="0"/>
        <charset val="1"/>
      </rPr>
      <t xml:space="preserve">][WhatsApp]</t>
    </r>
  </si>
  <si>
    <r>
      <rPr>
        <sz val="10"/>
        <rFont val="Noto Sans CJK SC"/>
        <family val="2"/>
      </rPr>
      <t xml:space="preserve">实测 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零个 </t>
    </r>
    <r>
      <rPr>
        <sz val="10"/>
        <rFont val="Arial"/>
        <family val="0"/>
        <charset val="1"/>
      </rPr>
      <t xml:space="preserve">tel: </t>
    </r>
    <r>
      <rPr>
        <sz val="10"/>
        <rFont val="Noto Sans CJK SC"/>
        <family val="2"/>
      </rPr>
      <t xml:space="preserve">链接。移动端排名 </t>
    </r>
    <r>
      <rPr>
        <sz val="10"/>
        <rFont val="Arial"/>
        <family val="0"/>
        <charset val="1"/>
      </rPr>
      <t xml:space="preserve">10.73 / CTR 3.41%</t>
    </r>
    <r>
      <rPr>
        <sz val="10"/>
        <rFont val="Noto Sans CJK SC"/>
        <family val="2"/>
      </rPr>
      <t xml:space="preserve">（桌面 </t>
    </r>
    <r>
      <rPr>
        <sz val="10"/>
        <rFont val="Arial"/>
        <family val="0"/>
        <charset val="1"/>
      </rPr>
      <t xml:space="preserve">31.73/0.70%</t>
    </r>
    <r>
      <rPr>
        <sz val="10"/>
        <rFont val="Noto Sans CJK SC"/>
        <family val="2"/>
      </rPr>
      <t xml:space="preserve">）—— 唯一接近点击悬崖的设备。</t>
    </r>
  </si>
  <si>
    <r>
      <rPr>
        <sz val="10"/>
        <rFont val="Arial"/>
        <family val="0"/>
        <charset val="1"/>
      </rPr>
      <t xml:space="preserve">WP: </t>
    </r>
    <r>
      <rPr>
        <sz val="10"/>
        <rFont val="Noto Sans CJK SC"/>
        <family val="2"/>
      </rPr>
      <t xml:space="preserve">主题</t>
    </r>
    <r>
      <rPr>
        <sz val="10"/>
        <rFont val="Arial"/>
        <family val="0"/>
        <charset val="1"/>
      </rPr>
      <t xml:space="preserve">/Elementor </t>
    </r>
    <r>
      <rPr>
        <sz val="10"/>
        <rFont val="Noto Sans CJK SC"/>
        <family val="2"/>
      </rPr>
      <t xml:space="preserve">页脚</t>
    </r>
    <r>
      <rPr>
        <sz val="10"/>
        <rFont val="Arial"/>
        <family val="0"/>
        <charset val="1"/>
      </rPr>
      <t xml:space="preserve">+Header</t>
    </r>
  </si>
  <si>
    <t xml:space="preserve">0.4h</t>
  </si>
  <si>
    <t xml:space="preserve">A04</t>
  </si>
  <si>
    <t xml:space="preserve">GBP</t>
  </si>
  <si>
    <r>
      <rPr>
        <sz val="10"/>
        <rFont val="Noto Sans CJK SC"/>
        <family val="2"/>
      </rPr>
      <t xml:space="preserve">填 </t>
    </r>
    <r>
      <rPr>
        <sz val="10"/>
        <rFont val="Arial"/>
        <family val="0"/>
        <charset val="1"/>
      </rPr>
      <t xml:space="preserve">GBP Services </t>
    </r>
    <r>
      <rPr>
        <sz val="10"/>
        <rFont val="Noto Sans CJK SC"/>
        <family val="2"/>
      </rPr>
      <t xml:space="preserve">列表（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项，每项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字描述）</t>
    </r>
  </si>
  <si>
    <r>
      <rPr>
        <sz val="10"/>
        <rFont val="Noto Sans CJK SC"/>
        <family val="2"/>
      </rPr>
      <t xml:space="preserve">现在完全空白。本地包赢家全是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评论商家，靠分类</t>
    </r>
    <r>
      <rPr>
        <sz val="10"/>
        <rFont val="Arial"/>
        <family val="0"/>
        <charset val="1"/>
      </rPr>
      <t xml:space="preserve">+Services+</t>
    </r>
    <r>
      <rPr>
        <sz val="10"/>
        <rFont val="Noto Sans CJK SC"/>
        <family val="2"/>
      </rPr>
      <t xml:space="preserve">属性赢，不是靠评论。</t>
    </r>
  </si>
  <si>
    <t xml:space="preserve">Google Business Profile</t>
  </si>
  <si>
    <t xml:space="preserve">1.5h</t>
  </si>
  <si>
    <t xml:space="preserve">A05</t>
  </si>
  <si>
    <r>
      <rPr>
        <sz val="10"/>
        <rFont val="Noto Sans CJK SC"/>
        <family val="2"/>
      </rPr>
      <t xml:space="preserve">开属性：</t>
    </r>
    <r>
      <rPr>
        <sz val="10"/>
        <rFont val="Arial"/>
        <family val="0"/>
        <charset val="1"/>
      </rPr>
      <t xml:space="preserve">On-site services / Online appointments / Online estimates</t>
    </r>
  </si>
  <si>
    <r>
      <rPr>
        <sz val="10"/>
        <rFont val="Noto Sans CJK SC"/>
        <family val="2"/>
      </rPr>
      <t xml:space="preserve">本地包赢家「</t>
    </r>
    <r>
      <rPr>
        <sz val="10"/>
        <rFont val="Arial"/>
        <family val="0"/>
        <charset val="1"/>
      </rPr>
      <t xml:space="preserve">Office Reinstatement</t>
    </r>
    <r>
      <rPr>
        <sz val="10"/>
        <rFont val="Noto Sans CJK SC"/>
        <family val="2"/>
      </rPr>
      <t xml:space="preserve">」显示的正是 </t>
    </r>
    <r>
      <rPr>
        <sz val="10"/>
        <rFont val="Arial"/>
        <family val="0"/>
        <charset val="1"/>
      </rPr>
      <t xml:space="preserve">On-site services · Online appointments</t>
    </r>
    <r>
      <rPr>
        <sz val="10"/>
        <rFont val="Noto Sans CJK SC"/>
        <family val="2"/>
      </rPr>
      <t xml:space="preserve">。你一个都没开。</t>
    </r>
  </si>
  <si>
    <t xml:space="preserve">0.1h</t>
  </si>
  <si>
    <t xml:space="preserve">A06</t>
  </si>
  <si>
    <r>
      <rPr>
        <sz val="10"/>
        <rFont val="Noto Sans CJK SC"/>
        <family val="2"/>
      </rPr>
      <t xml:space="preserve">设服务区域（全岛 </t>
    </r>
    <r>
      <rPr>
        <sz val="10"/>
        <rFont val="Arial"/>
        <family val="0"/>
        <charset val="1"/>
      </rPr>
      <t xml:space="preserve">+ Ubi/MacPherson/Paya Lebar/Changi BP/Tai Seng/Alexandra/Sungei Kadut/Toh Guan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</si>
  <si>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实测 </t>
    </r>
    <r>
      <rPr>
        <sz val="10"/>
        <rFont val="Arial"/>
        <family val="0"/>
        <charset val="1"/>
      </rPr>
      <t xml:space="preserve">GBP </t>
    </r>
    <r>
      <rPr>
        <sz val="10"/>
        <rFont val="Noto Sans CJK SC"/>
        <family val="2"/>
      </rPr>
      <t xml:space="preserve">为纯门店地址型，服务区域完全未设。</t>
    </r>
  </si>
  <si>
    <t xml:space="preserve">0.3h</t>
  </si>
  <si>
    <t xml:space="preserve">A07</t>
  </si>
  <si>
    <r>
      <rPr>
        <sz val="10"/>
        <rFont val="Noto Sans CJK SC"/>
        <family val="2"/>
      </rPr>
      <t xml:space="preserve">次分类加满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个：</t>
    </r>
    <r>
      <rPr>
        <sz val="10"/>
        <rFont val="Arial"/>
        <family val="0"/>
        <charset val="1"/>
      </rPr>
      <t xml:space="preserve">Demolition/General/Construction/Flooring/Painter/Electrician/Plumber/Interior fitting/Tile contractor</t>
    </r>
  </si>
  <si>
    <r>
      <rPr>
        <sz val="10"/>
        <rFont val="Noto Sans CJK SC"/>
        <family val="2"/>
      </rPr>
      <t xml:space="preserve">主分类现在只有宽泛的 </t>
    </r>
    <r>
      <rPr>
        <sz val="10"/>
        <rFont val="Arial"/>
        <family val="0"/>
        <charset val="1"/>
      </rPr>
      <t xml:space="preserve">Contractor</t>
    </r>
    <r>
      <rPr>
        <sz val="10"/>
        <rFont val="Noto Sans CJK SC"/>
        <family val="2"/>
      </rPr>
      <t xml:space="preserve">，无任何 </t>
    </r>
    <r>
      <rPr>
        <sz val="10"/>
        <rFont val="Arial"/>
        <family val="0"/>
        <charset val="1"/>
      </rPr>
      <t xml:space="preserve">reinstatement </t>
    </r>
    <r>
      <rPr>
        <sz val="10"/>
        <rFont val="Noto Sans CJK SC"/>
        <family val="2"/>
      </rPr>
      <t xml:space="preserve">相关性。</t>
    </r>
  </si>
  <si>
    <t xml:space="preserve">A08</t>
  </si>
  <si>
    <t xml:space="preserve">合规</t>
  </si>
  <si>
    <r>
      <rPr>
        <sz val="10"/>
        <rFont val="Noto Sans CJK SC"/>
        <family val="2"/>
      </rPr>
      <t xml:space="preserve">删除首页 </t>
    </r>
    <r>
      <rPr>
        <sz val="10"/>
        <rFont val="Arial"/>
        <family val="0"/>
        <charset val="1"/>
      </rPr>
      <t xml:space="preserve">JSON-LD </t>
    </r>
    <r>
      <rPr>
        <sz val="10"/>
        <rFont val="Noto Sans CJK SC"/>
        <family val="2"/>
      </rPr>
      <t xml:space="preserve">里手写的 </t>
    </r>
    <r>
      <rPr>
        <sz val="10"/>
        <rFont val="Arial"/>
        <family val="0"/>
        <charset val="1"/>
      </rPr>
      <t xml:space="preserve">aggregateRating (5.0/72)</t>
    </r>
  </si>
  <si>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写 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Trustindex </t>
    </r>
    <r>
      <rPr>
        <sz val="10"/>
        <rFont val="Noto Sans CJK SC"/>
        <family val="2"/>
      </rPr>
      <t xml:space="preserve">挂件显示 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GBP </t>
    </r>
    <r>
      <rPr>
        <sz val="10"/>
        <rFont val="Noto Sans CJK SC"/>
        <family val="2"/>
      </rPr>
      <t xml:space="preserve">实际 </t>
    </r>
    <r>
      <rPr>
        <sz val="10"/>
        <rFont val="Arial"/>
        <family val="0"/>
        <charset val="1"/>
      </rPr>
      <t xml:space="preserve">75 → </t>
    </r>
    <r>
      <rPr>
        <sz val="10"/>
        <rFont val="Noto Sans CJK SC"/>
        <family val="2"/>
      </rPr>
      <t xml:space="preserve">不一致违反 </t>
    </r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一致性要求。且 </t>
    </r>
    <r>
      <rPr>
        <sz val="10"/>
        <rFont val="Arial"/>
        <family val="0"/>
        <charset val="1"/>
      </rPr>
      <t xml:space="preserve">LocalBusiness </t>
    </r>
    <r>
      <rPr>
        <sz val="10"/>
        <rFont val="Noto Sans CJK SC"/>
        <family val="2"/>
      </rPr>
      <t xml:space="preserve">自我声明评分自 </t>
    </r>
    <r>
      <rPr>
        <sz val="10"/>
        <rFont val="Arial"/>
        <family val="0"/>
        <charset val="1"/>
      </rPr>
      <t xml:space="preserve">2019 </t>
    </r>
    <r>
      <rPr>
        <sz val="10"/>
        <rFont val="Noto Sans CJK SC"/>
        <family val="2"/>
      </rPr>
      <t xml:space="preserve">起无富结果资格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收益零风险正。</t>
    </r>
  </si>
  <si>
    <r>
      <rPr>
        <sz val="10"/>
        <rFont val="Arial"/>
        <family val="0"/>
        <charset val="1"/>
      </rPr>
      <t xml:space="preserve">WP: SEO </t>
    </r>
    <r>
      <rPr>
        <sz val="10"/>
        <rFont val="Noto Sans CJK SC"/>
        <family val="2"/>
      </rPr>
      <t xml:space="preserve">插件 </t>
    </r>
    <r>
      <rPr>
        <sz val="10"/>
        <rFont val="Arial"/>
        <family val="0"/>
        <charset val="1"/>
      </rPr>
      <t xml:space="preserve">/ WPCode </t>
    </r>
    <r>
      <rPr>
        <sz val="10"/>
        <rFont val="Noto Sans CJK SC"/>
        <family val="2"/>
      </rPr>
      <t xml:space="preserve">片段</t>
    </r>
  </si>
  <si>
    <t xml:space="preserve">A09</t>
  </si>
  <si>
    <r>
      <rPr>
        <sz val="10"/>
        <rFont val="Arial"/>
        <family val="0"/>
        <charset val="1"/>
      </rPr>
      <t xml:space="preserve">Trustindex </t>
    </r>
    <r>
      <rPr>
        <sz val="10"/>
        <rFont val="Noto Sans CJK SC"/>
        <family val="2"/>
      </rPr>
      <t xml:space="preserve">从徽章改为显示 </t>
    </r>
    <r>
      <rPr>
        <sz val="10"/>
        <rFont val="Arial"/>
        <family val="0"/>
        <charset val="1"/>
      </rPr>
      <t xml:space="preserve">6-9 </t>
    </r>
    <r>
      <rPr>
        <sz val="10"/>
        <rFont val="Noto Sans CJK SC"/>
        <family val="2"/>
      </rPr>
      <t xml:space="preserve">条真实评论内容，放到 </t>
    </r>
    <r>
      <rPr>
        <sz val="10"/>
        <rFont val="Arial"/>
        <family val="0"/>
        <charset val="1"/>
      </rPr>
      <t xml:space="preserve">about-us + </t>
    </r>
    <r>
      <rPr>
        <sz val="10"/>
        <rFont val="Noto Sans CJK SC"/>
        <family val="2"/>
      </rPr>
      <t xml:space="preserve">每个服务页</t>
    </r>
  </si>
  <si>
    <r>
      <rPr>
        <sz val="10"/>
        <rFont val="Noto Sans CJK SC"/>
        <family val="2"/>
      </rPr>
      <t xml:space="preserve">现在只显示「</t>
    </r>
    <r>
      <rPr>
        <sz val="10"/>
        <rFont val="Arial"/>
        <family val="0"/>
        <charset val="1"/>
      </rPr>
      <t xml:space="preserve">5.0 | 75 reviews</t>
    </r>
    <r>
      <rPr>
        <sz val="10"/>
        <rFont val="Noto Sans CJK SC"/>
        <family val="2"/>
      </rPr>
      <t xml:space="preserve">」徽章，无评论人姓名无文字。</t>
    </r>
    <r>
      <rPr>
        <sz val="10"/>
        <rFont val="Arial"/>
        <family val="0"/>
        <charset val="1"/>
      </rPr>
      <t xml:space="preserve">75 </t>
    </r>
    <r>
      <rPr>
        <sz val="10"/>
        <rFont val="Noto Sans CJK SC"/>
        <family val="2"/>
      </rPr>
      <t xml:space="preserve">条五星评价的说服力被完全浪费。</t>
    </r>
  </si>
  <si>
    <r>
      <rPr>
        <sz val="10"/>
        <rFont val="Arial"/>
        <family val="0"/>
        <charset val="1"/>
      </rPr>
      <t xml:space="preserve">Trustindex </t>
    </r>
    <r>
      <rPr>
        <sz val="10"/>
        <rFont val="Noto Sans CJK SC"/>
        <family val="2"/>
      </rPr>
      <t xml:space="preserve">插件设置</t>
    </r>
  </si>
  <si>
    <t xml:space="preserve">A10</t>
  </si>
  <si>
    <t xml:space="preserve">信任</t>
  </si>
  <si>
    <r>
      <rPr>
        <sz val="10"/>
        <rFont val="Noto Sans CJK SC"/>
        <family val="2"/>
      </rPr>
      <t xml:space="preserve">把 </t>
    </r>
    <r>
      <rPr>
        <sz val="10"/>
        <rFont val="Arial"/>
        <family val="0"/>
        <charset val="1"/>
      </rPr>
      <t xml:space="preserve">HDB Licence 075810E / BCA </t>
    </r>
    <r>
      <rPr>
        <sz val="10"/>
        <rFont val="Noto Sans CJK SC"/>
        <family val="2"/>
      </rPr>
      <t xml:space="preserve">注册号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等级 </t>
    </r>
    <r>
      <rPr>
        <sz val="10"/>
        <rFont val="Arial"/>
        <family val="0"/>
        <charset val="1"/>
      </rPr>
      <t xml:space="preserve">/ BizSafe 3 </t>
    </r>
    <r>
      <rPr>
        <sz val="10"/>
        <rFont val="Noto Sans CJK SC"/>
        <family val="2"/>
      </rPr>
      <t xml:space="preserve">证书号写上网站（</t>
    </r>
    <r>
      <rPr>
        <sz val="10"/>
        <rFont val="Arial"/>
        <family val="0"/>
        <charset val="1"/>
      </rPr>
      <t xml:space="preserve">about-us + </t>
    </r>
    <r>
      <rPr>
        <sz val="10"/>
        <rFont val="Noto Sans CJK SC"/>
        <family val="2"/>
      </rPr>
      <t xml:space="preserve">全站页脚）</t>
    </r>
  </si>
  <si>
    <r>
      <rPr>
        <sz val="10"/>
        <rFont val="Arial"/>
        <family val="0"/>
        <charset val="1"/>
      </rPr>
      <t xml:space="preserve">075810E </t>
    </r>
    <r>
      <rPr>
        <sz val="10"/>
        <rFont val="Noto Sans CJK SC"/>
        <family val="2"/>
      </rPr>
      <t xml:space="preserve">只存在于 </t>
    </r>
    <r>
      <rPr>
        <sz val="10"/>
        <rFont val="Arial"/>
        <family val="0"/>
        <charset val="1"/>
      </rPr>
      <t xml:space="preserve">GBP </t>
    </r>
    <r>
      <rPr>
        <sz val="10"/>
        <rFont val="Noto Sans CJK SC"/>
        <family val="2"/>
      </rPr>
      <t xml:space="preserve">描述，网站上零执照编号，只有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张无 </t>
    </r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logo </t>
    </r>
    <r>
      <rPr>
        <sz val="10"/>
        <rFont val="Noto Sans CJK SC"/>
        <family val="2"/>
      </rPr>
      <t xml:space="preserve">图。</t>
    </r>
  </si>
  <si>
    <r>
      <rPr>
        <sz val="10"/>
        <rFont val="Arial"/>
        <family val="0"/>
        <charset val="1"/>
      </rPr>
      <t xml:space="preserve">WP: about-us + </t>
    </r>
    <r>
      <rPr>
        <sz val="10"/>
        <rFont val="Noto Sans CJK SC"/>
        <family val="2"/>
      </rPr>
      <t xml:space="preserve">页脚</t>
    </r>
  </si>
  <si>
    <t xml:space="preserve">A11</t>
  </si>
  <si>
    <r>
      <rPr>
        <sz val="10"/>
        <rFont val="Noto Sans CJK SC"/>
        <family val="2"/>
      </rPr>
      <t xml:space="preserve">计数器数值写入静态 </t>
    </r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（现在 </t>
    </r>
    <r>
      <rPr>
        <sz val="10"/>
        <rFont val="Arial"/>
        <family val="0"/>
        <charset val="1"/>
      </rPr>
      <t xml:space="preserve">data-to-value=1099 </t>
    </r>
    <r>
      <rPr>
        <sz val="10"/>
        <rFont val="Noto Sans CJK SC"/>
        <family val="2"/>
      </rPr>
      <t xml:space="preserve">靠 </t>
    </r>
    <r>
      <rPr>
        <sz val="10"/>
        <rFont val="Arial"/>
        <family val="0"/>
        <charset val="1"/>
      </rPr>
      <t xml:space="preserve">JS</t>
    </r>
    <r>
      <rPr>
        <sz val="10"/>
        <rFont val="Noto Sans CJK SC"/>
        <family val="2"/>
      </rPr>
      <t xml:space="preserve">，服务端 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</si>
  <si>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GPTBot/ClaudeBot </t>
    </r>
    <r>
      <rPr>
        <sz val="10"/>
        <rFont val="Noto Sans CJK SC"/>
        <family val="2"/>
      </rPr>
      <t xml:space="preserve">与文本提取管线看到的是「</t>
    </r>
    <r>
      <rPr>
        <sz val="10"/>
        <rFont val="Arial"/>
        <family val="0"/>
        <charset val="1"/>
      </rPr>
      <t xml:space="preserve">Completed Project 0</t>
    </r>
    <r>
      <rPr>
        <sz val="10"/>
        <rFont val="Noto Sans CJK SC"/>
        <family val="2"/>
      </rPr>
      <t xml:space="preserve">」。建议改「</t>
    </r>
    <r>
      <rPr>
        <sz val="10"/>
        <rFont val="Arial"/>
        <family val="0"/>
        <charset val="1"/>
      </rPr>
      <t xml:space="preserve">1,000+ projects since 2021</t>
    </r>
    <r>
      <rPr>
        <sz val="10"/>
        <rFont val="Noto Sans CJK SC"/>
        <family val="2"/>
      </rPr>
      <t xml:space="preserve">」并说明口径。</t>
    </r>
  </si>
  <si>
    <t xml:space="preserve">WP: Elementor counter widget</t>
  </si>
  <si>
    <t xml:space="preserve">A12</t>
  </si>
  <si>
    <r>
      <rPr>
        <sz val="10"/>
        <rFont val="Arial"/>
        <family val="0"/>
        <charset val="1"/>
      </rPr>
      <t xml:space="preserve">gmail → enquiry@nouvelleworkz.com</t>
    </r>
    <r>
      <rPr>
        <sz val="10"/>
        <rFont val="Noto Sans CJK SC"/>
        <family val="2"/>
      </rPr>
      <t xml:space="preserve">；网站补营业时间</t>
    </r>
  </si>
  <si>
    <r>
      <rPr>
        <sz val="10"/>
        <rFont val="Arial"/>
        <family val="0"/>
        <charset val="1"/>
      </rPr>
      <t xml:space="preserve">B2B </t>
    </r>
    <r>
      <rPr>
        <sz val="10"/>
        <rFont val="Noto Sans CJK SC"/>
        <family val="2"/>
      </rPr>
      <t xml:space="preserve">承包商用免费邮箱是明确信任折扣；网站任何位置无营业时间，</t>
    </r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也无 </t>
    </r>
    <r>
      <rPr>
        <sz val="10"/>
        <rFont val="Arial"/>
        <family val="0"/>
        <charset val="1"/>
      </rPr>
      <t xml:space="preserve">openingHoursSpecification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</si>
  <si>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邮箱服务商 </t>
    </r>
    <r>
      <rPr>
        <sz val="10"/>
        <rFont val="Arial"/>
        <family val="0"/>
        <charset val="1"/>
      </rPr>
      <t xml:space="preserve">+ WP</t>
    </r>
  </si>
  <si>
    <t xml:space="preserve">A13</t>
  </si>
  <si>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个服务页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成本页嵌入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字段表单（</t>
    </r>
    <r>
      <rPr>
        <sz val="10"/>
        <rFont val="Arial"/>
        <family val="0"/>
        <charset val="1"/>
      </rPr>
      <t xml:space="preserve">Mobile </t>
    </r>
    <r>
      <rPr>
        <sz val="10"/>
        <rFont val="Noto Sans CJK SC"/>
        <family val="2"/>
      </rPr>
      <t xml:space="preserve">必填、</t>
    </r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改选填、</t>
    </r>
    <r>
      <rPr>
        <sz val="10"/>
        <rFont val="Arial"/>
        <family val="0"/>
        <charset val="1"/>
      </rPr>
      <t xml:space="preserve">Property type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sqft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Handover date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</si>
  <si>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实测 </t>
    </r>
    <r>
      <rPr>
        <sz val="10"/>
        <rFont val="Arial"/>
        <family val="0"/>
        <charset val="1"/>
      </rPr>
      <t xml:space="preserve">reinstatement / commercial-renovation / plumbing / tiling / </t>
    </r>
    <r>
      <rPr>
        <sz val="10"/>
        <rFont val="Noto Sans CJK SC"/>
        <family val="2"/>
      </rPr>
      <t xml:space="preserve">两篇成本指南页内均无表单，只有页脚 </t>
    </r>
    <r>
      <rPr>
        <sz val="10"/>
        <rFont val="Arial"/>
        <family val="0"/>
        <charset val="1"/>
      </rPr>
      <t xml:space="preserve">newsletter</t>
    </r>
    <r>
      <rPr>
        <sz val="10"/>
        <rFont val="Noto Sans CJK SC"/>
        <family val="2"/>
      </rPr>
      <t xml:space="preserve">。现有主表单仅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字段无法分流商业线索。</t>
    </r>
  </si>
  <si>
    <r>
      <rPr>
        <sz val="10"/>
        <rFont val="Arial"/>
        <family val="0"/>
        <charset val="1"/>
      </rPr>
      <t xml:space="preserve">WP: </t>
    </r>
    <r>
      <rPr>
        <sz val="10"/>
        <rFont val="Noto Sans CJK SC"/>
        <family val="2"/>
      </rPr>
      <t xml:space="preserve">表单插件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各页</t>
    </r>
  </si>
  <si>
    <t xml:space="preserve">2h</t>
  </si>
  <si>
    <t xml:space="preserve">A14</t>
  </si>
  <si>
    <t xml:space="preserve">内容</t>
  </si>
  <si>
    <r>
      <rPr>
        <sz val="10"/>
        <rFont val="Noto Sans CJK SC"/>
        <family val="2"/>
      </rPr>
      <t xml:space="preserve">修 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：成本指南页 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How to Avoid Landlord Disputes</t>
    </r>
    <r>
      <rPr>
        <sz val="10"/>
        <rFont val="Noto Sans CJK SC"/>
        <family val="2"/>
      </rPr>
      <t xml:space="preserve">」→ 匹配主题；</t>
    </r>
    <r>
      <rPr>
        <sz val="10"/>
        <rFont val="Arial"/>
        <family val="0"/>
        <charset val="1"/>
      </rPr>
      <t xml:space="preserve">hdb-painting H1 </t>
    </r>
    <r>
      <rPr>
        <sz val="10"/>
        <rFont val="Noto Sans CJK SC"/>
        <family val="2"/>
      </rPr>
      <t xml:space="preserve">去掉管道符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品牌名；</t>
    </r>
    <r>
      <rPr>
        <sz val="10"/>
        <rFont val="Arial"/>
        <family val="0"/>
        <charset val="1"/>
      </rPr>
      <t xml:space="preserve">/residential/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/commercial/ </t>
    </r>
    <r>
      <rPr>
        <sz val="10"/>
        <rFont val="Noto Sans CJK SC"/>
        <family val="2"/>
      </rPr>
      <t xml:space="preserve">删重复第二个 </t>
    </r>
    <r>
      <rPr>
        <sz val="10"/>
        <rFont val="Arial"/>
        <family val="0"/>
        <charset val="1"/>
      </rPr>
      <t xml:space="preserve">H1</t>
    </r>
  </si>
  <si>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Title </t>
    </r>
    <r>
      <rPr>
        <sz val="10"/>
        <rFont val="Noto Sans CJK SC"/>
        <family val="2"/>
      </rPr>
      <t xml:space="preserve">主题严重不匹配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主题信号混乱。</t>
    </r>
  </si>
  <si>
    <r>
      <rPr>
        <sz val="10"/>
        <rFont val="Arial"/>
        <family val="0"/>
        <charset val="1"/>
      </rPr>
      <t xml:space="preserve">WP: 4 </t>
    </r>
    <r>
      <rPr>
        <sz val="10"/>
        <rFont val="Noto Sans CJK SC"/>
        <family val="2"/>
      </rPr>
      <t xml:space="preserve">个页面</t>
    </r>
  </si>
  <si>
    <t xml:space="preserve">A15</t>
  </si>
  <si>
    <r>
      <rPr>
        <sz val="10"/>
        <rFont val="Noto Sans CJK SC"/>
        <family val="2"/>
      </rPr>
      <t xml:space="preserve">修 </t>
    </r>
    <r>
      <rPr>
        <sz val="10"/>
        <rFont val="Arial"/>
        <family val="0"/>
        <charset val="1"/>
      </rPr>
      <t xml:space="preserve">/commercial/ meta description </t>
    </r>
    <r>
      <rPr>
        <sz val="10"/>
        <rFont val="Noto Sans CJK SC"/>
        <family val="2"/>
      </rPr>
      <t xml:space="preserve">拼写：</t>
    </r>
    <r>
      <rPr>
        <sz val="10"/>
        <rFont val="Arial"/>
        <family val="0"/>
        <charset val="1"/>
      </rPr>
      <t xml:space="preserve">Commericial→Commercial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Hancking→Hacking</t>
    </r>
    <r>
      <rPr>
        <sz val="10"/>
        <rFont val="Noto Sans CJK SC"/>
        <family val="2"/>
      </rPr>
      <t xml:space="preserve">；补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个缺失的 </t>
    </r>
    <r>
      <rPr>
        <sz val="10"/>
        <rFont val="Arial"/>
        <family val="0"/>
        <charset val="1"/>
      </rPr>
      <t xml:space="preserve">meta description</t>
    </r>
  </si>
  <si>
    <r>
      <rPr>
        <sz val="10"/>
        <rFont val="Noto Sans CJK SC"/>
        <family val="2"/>
      </rPr>
      <t xml:space="preserve">拼写错误直接出现在 </t>
    </r>
    <r>
      <rPr>
        <sz val="10"/>
        <rFont val="Arial"/>
        <family val="0"/>
        <charset val="1"/>
      </rPr>
      <t xml:space="preserve">SERP </t>
    </r>
    <r>
      <rPr>
        <sz val="10"/>
        <rFont val="Noto Sans CJK SC"/>
        <family val="2"/>
      </rPr>
      <t xml:space="preserve">摘要里。</t>
    </r>
  </si>
  <si>
    <r>
      <rPr>
        <sz val="10"/>
        <rFont val="Arial"/>
        <family val="0"/>
        <charset val="1"/>
      </rPr>
      <t xml:space="preserve">WP: SEO </t>
    </r>
    <r>
      <rPr>
        <sz val="10"/>
        <rFont val="Noto Sans CJK SC"/>
        <family val="2"/>
      </rPr>
      <t xml:space="preserve">插件</t>
    </r>
  </si>
  <si>
    <t xml:space="preserve">1h</t>
  </si>
  <si>
    <t xml:space="preserve">A16</t>
  </si>
  <si>
    <t xml:space="preserve">追踪</t>
  </si>
  <si>
    <r>
      <rPr>
        <sz val="10"/>
        <rFont val="Arial"/>
        <family val="0"/>
        <charset val="1"/>
      </rPr>
      <t xml:space="preserve">GA4 </t>
    </r>
    <r>
      <rPr>
        <sz val="10"/>
        <rFont val="Noto Sans CJK SC"/>
        <family val="2"/>
      </rPr>
      <t xml:space="preserve">事件：</t>
    </r>
    <r>
      <rPr>
        <sz val="10"/>
        <rFont val="Arial"/>
        <family val="0"/>
        <charset val="1"/>
      </rPr>
      <t xml:space="preserve">whatsapp_click / tel_click / form_submit / quote_intent / checklist_download</t>
    </r>
    <r>
      <rPr>
        <sz val="10"/>
        <rFont val="Noto Sans CJK SC"/>
        <family val="2"/>
      </rPr>
      <t xml:space="preserve">，全部标为 </t>
    </r>
    <r>
      <rPr>
        <sz val="10"/>
        <rFont val="Arial"/>
        <family val="0"/>
        <charset val="1"/>
      </rPr>
      <t xml:space="preserve">Key Event</t>
    </r>
  </si>
  <si>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是线索量但目前零追踪。不做这一步，</t>
    </r>
    <r>
      <rPr>
        <sz val="10"/>
        <rFont val="Arial"/>
        <family val="0"/>
        <charset val="1"/>
      </rPr>
      <t xml:space="preserve">90 </t>
    </r>
    <r>
      <rPr>
        <sz val="10"/>
        <rFont val="Noto Sans CJK SC"/>
        <family val="2"/>
      </rPr>
      <t xml:space="preserve">天后无法证明任何成果。</t>
    </r>
  </si>
  <si>
    <t xml:space="preserve">GTM + GA4</t>
  </si>
  <si>
    <t xml:space="preserve">A17</t>
  </si>
  <si>
    <r>
      <rPr>
        <sz val="10"/>
        <rFont val="Arial"/>
        <family val="0"/>
        <charset val="1"/>
      </rPr>
      <t xml:space="preserve">GSC </t>
    </r>
    <r>
      <rPr>
        <sz val="10"/>
        <rFont val="Noto Sans CJK SC"/>
        <family val="2"/>
      </rPr>
      <t xml:space="preserve">建立「非品牌」过滤视图（排除 </t>
    </r>
    <r>
      <rPr>
        <sz val="10"/>
        <rFont val="Arial"/>
        <family val="0"/>
        <charset val="1"/>
      </rPr>
      <t xml:space="preserve">nouvelle</t>
    </r>
    <r>
      <rPr>
        <sz val="10"/>
        <rFont val="Noto Sans CJK SC"/>
        <family val="2"/>
      </rPr>
      <t xml:space="preserve">），所有对客户汇报用这个视图</t>
    </r>
  </si>
  <si>
    <r>
      <rPr>
        <sz val="10"/>
        <rFont val="Noto Sans CJK SC"/>
        <family val="2"/>
      </rPr>
      <t xml:space="preserve">品牌词排名 </t>
    </r>
    <r>
      <rPr>
        <sz val="10"/>
        <rFont val="Arial"/>
        <family val="0"/>
        <charset val="1"/>
      </rPr>
      <t xml:space="preserve">4.60/CTR 13.79% </t>
    </r>
    <r>
      <rPr>
        <sz val="10"/>
        <rFont val="Noto Sans CJK SC"/>
        <family val="2"/>
      </rPr>
      <t xml:space="preserve">会把非品牌 </t>
    </r>
    <r>
      <rPr>
        <sz val="10"/>
        <rFont val="Arial"/>
        <family val="0"/>
        <charset val="1"/>
      </rPr>
      <t xml:space="preserve">CTR </t>
    </r>
    <r>
      <rPr>
        <sz val="10"/>
        <rFont val="Noto Sans CJK SC"/>
        <family val="2"/>
      </rPr>
      <t xml:space="preserve">从 </t>
    </r>
    <r>
      <rPr>
        <sz val="10"/>
        <rFont val="Arial"/>
        <family val="0"/>
        <charset val="1"/>
      </rPr>
      <t xml:space="preserve">0.115% </t>
    </r>
    <r>
      <rPr>
        <sz val="10"/>
        <rFont val="Noto Sans CJK SC"/>
        <family val="2"/>
      </rPr>
      <t xml:space="preserve">拉高到 </t>
    </r>
    <r>
      <rPr>
        <sz val="10"/>
        <rFont val="Arial"/>
        <family val="0"/>
        <charset val="1"/>
      </rPr>
      <t xml:space="preserve">0.559% —— 5 </t>
    </r>
    <r>
      <rPr>
        <sz val="10"/>
        <rFont val="Noto Sans CJK SC"/>
        <family val="2"/>
      </rPr>
      <t xml:space="preserve">倍失真。</t>
    </r>
  </si>
  <si>
    <t xml:space="preserve">Search Console</t>
  </si>
  <si>
    <t xml:space="preserve">A18</t>
  </si>
  <si>
    <t xml:space="preserve">素材</t>
  </si>
  <si>
    <r>
      <rPr>
        <sz val="10"/>
        <rFont val="Noto Sans CJK SC"/>
        <family val="2"/>
      </rPr>
      <t xml:space="preserve">向客户索取素材清单（执照编号 </t>
    </r>
    <r>
      <rPr>
        <sz val="10"/>
        <rFont val="Arial"/>
        <family val="0"/>
        <charset val="1"/>
      </rPr>
      <t xml:space="preserve">/ 12 </t>
    </r>
    <r>
      <rPr>
        <sz val="10"/>
        <rFont val="Noto Sans CJK SC"/>
        <family val="2"/>
      </rPr>
      <t xml:space="preserve">个案例的面积工期</t>
    </r>
    <r>
      <rPr>
        <sz val="10"/>
        <rFont val="Arial"/>
        <family val="0"/>
        <charset val="1"/>
      </rPr>
      <t xml:space="preserve">scope</t>
    </r>
    <r>
      <rPr>
        <sz val="10"/>
        <rFont val="Noto Sans CJK SC"/>
        <family val="2"/>
      </rPr>
      <t xml:space="preserve">造价 </t>
    </r>
    <r>
      <rPr>
        <sz val="10"/>
        <rFont val="Arial"/>
        <family val="0"/>
        <charset val="1"/>
      </rPr>
      <t xml:space="preserve">/ 3-5 </t>
    </r>
    <r>
      <rPr>
        <sz val="10"/>
        <rFont val="Noto Sans CJK SC"/>
        <family val="2"/>
      </rPr>
      <t xml:space="preserve">份可打码报价单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做过的建筑园区名单 </t>
    </r>
    <r>
      <rPr>
        <sz val="10"/>
        <rFont val="Arial"/>
        <family val="0"/>
        <charset val="1"/>
      </rPr>
      <t xml:space="preserve">/ epoxy grout </t>
    </r>
    <r>
      <rPr>
        <sz val="10"/>
        <rFont val="Noto Sans CJK SC"/>
        <family val="2"/>
      </rPr>
      <t xml:space="preserve">实际销售额）</t>
    </r>
  </si>
  <si>
    <r>
      <rPr>
        <sz val="10"/>
        <rFont val="Noto Sans CJK SC"/>
        <family val="2"/>
      </rPr>
      <t xml:space="preserve">建筑页与成本指南的核心竞争力就是「只有真正做过的人才写得出的细节」。没素材就退回到和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个新 </t>
    </r>
    <r>
      <rPr>
        <sz val="10"/>
        <rFont val="Arial"/>
        <family val="0"/>
        <charset val="1"/>
      </rPr>
      <t xml:space="preserve">EMD </t>
    </r>
    <r>
      <rPr>
        <sz val="10"/>
        <rFont val="Noto Sans CJK SC"/>
        <family val="2"/>
      </rPr>
      <t xml:space="preserve">同一起跑线。</t>
    </r>
  </si>
  <si>
    <r>
      <rPr>
        <sz val="10"/>
        <rFont val="Noto Sans CJK SC"/>
        <family val="2"/>
      </rPr>
      <t xml:space="preserve">邮件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会议</t>
    </r>
  </si>
  <si>
    <t xml:space="preserve">B01</t>
  </si>
  <si>
    <t xml:space="preserve">P1</t>
  </si>
  <si>
    <t xml:space="preserve">W1-W2</t>
  </si>
  <si>
    <t xml:space="preserve">Schema</t>
  </si>
  <si>
    <r>
      <rPr>
        <sz val="10"/>
        <rFont val="Noto Sans CJK SC"/>
        <family val="2"/>
      </rPr>
      <t xml:space="preserve">定位 </t>
    </r>
    <r>
      <rPr>
        <sz val="10"/>
        <rFont val="Arial"/>
        <family val="0"/>
        <charset val="1"/>
      </rPr>
      <t xml:space="preserve">JSON-LD </t>
    </r>
    <r>
      <rPr>
        <sz val="10"/>
        <rFont val="Noto Sans CJK SC"/>
        <family val="2"/>
      </rPr>
      <t xml:space="preserve">注入源并只保留一个（首页有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个块，说明 </t>
    </r>
    <r>
      <rPr>
        <sz val="10"/>
        <rFont val="Arial"/>
        <family val="0"/>
        <charset val="1"/>
      </rPr>
      <t xml:space="preserve">SEO</t>
    </r>
    <r>
      <rPr>
        <sz val="10"/>
        <rFont val="Noto Sans CJK SC"/>
        <family val="2"/>
      </rPr>
      <t xml:space="preserve">插件</t>
    </r>
    <r>
      <rPr>
        <sz val="10"/>
        <rFont val="Arial"/>
        <family val="0"/>
        <charset val="1"/>
      </rPr>
      <t xml:space="preserve">@graph + </t>
    </r>
    <r>
      <rPr>
        <sz val="10"/>
        <rFont val="Noto Sans CJK SC"/>
        <family val="2"/>
      </rPr>
      <t xml:space="preserve">手写片段 </t>
    </r>
    <r>
      <rPr>
        <sz val="10"/>
        <rFont val="Arial"/>
        <family val="0"/>
        <charset val="1"/>
      </rPr>
      <t xml:space="preserve">+ Elementor </t>
    </r>
    <r>
      <rPr>
        <sz val="10"/>
        <rFont val="Noto Sans CJK SC"/>
        <family val="2"/>
      </rPr>
      <t xml:space="preserve">同时注入）</t>
    </r>
  </si>
  <si>
    <r>
      <rPr>
        <sz val="10"/>
        <rFont val="Arial"/>
        <family val="0"/>
        <charset val="1"/>
      </rPr>
      <t xml:space="preserve">WebSite </t>
    </r>
    <r>
      <rPr>
        <sz val="10"/>
        <rFont val="Noto Sans CJK SC"/>
        <family val="2"/>
      </rPr>
      <t xml:space="preserve">声明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次、</t>
    </r>
    <r>
      <rPr>
        <sz val="10"/>
        <rFont val="Arial"/>
        <family val="0"/>
        <charset val="1"/>
      </rPr>
      <t xml:space="preserve">WebPage 2 </t>
    </r>
    <r>
      <rPr>
        <sz val="10"/>
        <rFont val="Noto Sans CJK SC"/>
        <family val="2"/>
      </rPr>
      <t xml:space="preserve">次、两套独立 </t>
    </r>
    <r>
      <rPr>
        <sz val="10"/>
        <rFont val="Arial"/>
        <family val="0"/>
        <charset val="1"/>
      </rPr>
      <t xml:space="preserve">LocalBusiness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</si>
  <si>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WP: </t>
    </r>
    <r>
      <rPr>
        <sz val="10"/>
        <rFont val="Noto Sans CJK SC"/>
        <family val="2"/>
      </rPr>
      <t xml:space="preserve">逐个禁用排查</t>
    </r>
  </si>
  <si>
    <t xml:space="preserve">B02</t>
  </si>
  <si>
    <r>
      <rPr>
        <sz val="10"/>
        <rFont val="Noto Sans CJK SC"/>
        <family val="2"/>
      </rPr>
      <t xml:space="preserve">消除 </t>
    </r>
    <r>
      <rPr>
        <sz val="10"/>
        <rFont val="Arial"/>
        <family val="0"/>
        <charset val="1"/>
      </rPr>
      <t xml:space="preserve">@id </t>
    </r>
    <r>
      <rPr>
        <sz val="10"/>
        <rFont val="Noto Sans CJK SC"/>
        <family val="2"/>
      </rPr>
      <t xml:space="preserve">碰撞：</t>
    </r>
    <r>
      <rPr>
        <sz val="10"/>
        <rFont val="Arial"/>
        <family val="0"/>
        <charset val="1"/>
      </rPr>
      <t xml:space="preserve">#website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#organization </t>
    </r>
    <r>
      <rPr>
        <sz val="10"/>
        <rFont val="Noto Sans CJK SC"/>
        <family val="2"/>
      </rPr>
      <t xml:space="preserve">各出现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次且绑定不同实体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</si>
  <si>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只会任选其一或整体忽略 → 你写的 </t>
    </r>
    <r>
      <rPr>
        <sz val="10"/>
        <rFont val="Arial"/>
        <family val="0"/>
        <charset val="1"/>
      </rPr>
      <t xml:space="preserve">GeneralContractor </t>
    </r>
    <r>
      <rPr>
        <sz val="10"/>
        <rFont val="Noto Sans CJK SC"/>
        <family val="2"/>
      </rPr>
      <t xml:space="preserve">与资质属性可能根本没被采纳。</t>
    </r>
  </si>
  <si>
    <r>
      <rPr>
        <sz val="10"/>
        <rFont val="Arial"/>
        <family val="0"/>
        <charset val="1"/>
      </rPr>
      <t xml:space="preserve">WP: schema </t>
    </r>
    <r>
      <rPr>
        <sz val="10"/>
        <rFont val="Noto Sans CJK SC"/>
        <family val="2"/>
      </rPr>
      <t xml:space="preserve">输出</t>
    </r>
  </si>
  <si>
    <t xml:space="preserve">B03</t>
  </si>
  <si>
    <r>
      <rPr>
        <sz val="10"/>
        <rFont val="Noto Sans CJK SC"/>
        <family val="2"/>
      </rPr>
      <t xml:space="preserve">合并两套 </t>
    </r>
    <r>
      <rPr>
        <sz val="10"/>
        <rFont val="Arial"/>
        <family val="0"/>
        <charset val="1"/>
      </rPr>
      <t xml:space="preserve">LocalBusiness </t>
    </r>
    <r>
      <rPr>
        <sz val="10"/>
        <rFont val="Noto Sans CJK SC"/>
        <family val="2"/>
      </rPr>
      <t xml:space="preserve">为一个 </t>
    </r>
    <r>
      <rPr>
        <sz val="10"/>
        <rFont val="Arial"/>
        <family val="0"/>
        <charset val="1"/>
      </rPr>
      <t xml:space="preserve">HomeAndConstructionBusiness</t>
    </r>
    <r>
      <rPr>
        <sz val="10"/>
        <rFont val="Noto Sans CJK SC"/>
        <family val="2"/>
      </rPr>
      <t xml:space="preserve">；补 </t>
    </r>
    <r>
      <rPr>
        <sz val="10"/>
        <rFont val="Arial"/>
        <family val="0"/>
        <charset val="1"/>
      </rPr>
      <t xml:space="preserve">openingHoursSpecification / areaServed / hasCredential / sameAs</t>
    </r>
  </si>
  <si>
    <r>
      <rPr>
        <sz val="10"/>
        <rFont val="Noto Sans CJK SC"/>
        <family val="2"/>
      </rPr>
      <t xml:space="preserve">补齐本地 </t>
    </r>
    <r>
      <rPr>
        <sz val="10"/>
        <rFont val="Arial"/>
        <family val="0"/>
        <charset val="1"/>
      </rPr>
      <t xml:space="preserve">SEO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AEO </t>
    </r>
    <r>
      <rPr>
        <sz val="10"/>
        <rFont val="Noto Sans CJK SC"/>
        <family val="2"/>
      </rPr>
      <t xml:space="preserve">所需实体属性。</t>
    </r>
  </si>
  <si>
    <t xml:space="preserve">B04</t>
  </si>
  <si>
    <r>
      <rPr>
        <sz val="10"/>
        <rFont val="Noto Sans CJK SC"/>
        <family val="2"/>
      </rPr>
      <t xml:space="preserve">修 </t>
    </r>
    <r>
      <rPr>
        <sz val="10"/>
        <rFont val="Arial"/>
        <family val="0"/>
        <charset val="1"/>
      </rPr>
      <t xml:space="preserve">geo </t>
    </r>
    <r>
      <rPr>
        <sz val="10"/>
        <rFont val="Noto Sans CJK SC"/>
        <family val="2"/>
      </rPr>
      <t xml:space="preserve">坐标 </t>
    </r>
    <r>
      <rPr>
        <sz val="10"/>
        <rFont val="Arial"/>
        <family val="0"/>
        <charset val="1"/>
      </rPr>
      <t xml:space="preserve">1.3465,103.7538 → 1.3369,103.7598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GBP </t>
    </r>
    <r>
      <rPr>
        <sz val="10"/>
        <rFont val="Noto Sans CJK SC"/>
        <family val="2"/>
      </rPr>
      <t xml:space="preserve">实际 </t>
    </r>
    <r>
      <rPr>
        <sz val="10"/>
        <rFont val="Arial"/>
        <family val="0"/>
        <charset val="1"/>
      </rPr>
      <t xml:space="preserve">pin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</si>
  <si>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偏离真实位置 </t>
    </r>
    <r>
      <rPr>
        <sz val="10"/>
        <rFont val="Arial"/>
        <family val="0"/>
        <charset val="1"/>
      </rPr>
      <t xml:space="preserve">1.2 km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NAP </t>
    </r>
    <r>
      <rPr>
        <sz val="10"/>
        <rFont val="Noto Sans CJK SC"/>
        <family val="2"/>
      </rPr>
      <t xml:space="preserve">一致性问题。</t>
    </r>
  </si>
  <si>
    <t xml:space="preserve">B05</t>
  </si>
  <si>
    <r>
      <rPr>
        <sz val="10"/>
        <rFont val="Noto Sans CJK SC"/>
        <family val="2"/>
      </rPr>
      <t xml:space="preserve">成本指南页去重：</t>
    </r>
    <r>
      <rPr>
        <sz val="10"/>
        <rFont val="Arial"/>
        <family val="0"/>
        <charset val="1"/>
      </rPr>
      <t xml:space="preserve">Article + BlogPosting + </t>
    </r>
    <r>
      <rPr>
        <sz val="10"/>
        <rFont val="Noto Sans CJK SC"/>
        <family val="2"/>
      </rPr>
      <t xml:space="preserve">第二个 </t>
    </r>
    <r>
      <rPr>
        <sz val="10"/>
        <rFont val="Arial"/>
        <family val="0"/>
        <charset val="1"/>
      </rPr>
      <t xml:space="preserve">Article </t>
    </r>
    <r>
      <rPr>
        <sz val="10"/>
        <rFont val="Noto Sans CJK SC"/>
        <family val="2"/>
      </rPr>
      <t xml:space="preserve">三层 → 保留一个 </t>
    </r>
    <r>
      <rPr>
        <sz val="10"/>
        <rFont val="Arial"/>
        <family val="0"/>
        <charset val="1"/>
      </rPr>
      <t xml:space="preserve">Article</t>
    </r>
  </si>
  <si>
    <t xml:space="preserve">主实体类型自相矛盾。</t>
  </si>
  <si>
    <t xml:space="preserve">WP</t>
  </si>
  <si>
    <t xml:space="preserve">B06</t>
  </si>
  <si>
    <r>
      <rPr>
        <sz val="10"/>
        <rFont val="Noto Sans CJK SC"/>
        <family val="2"/>
      </rPr>
      <t xml:space="preserve">作者实体从 </t>
    </r>
    <r>
      <rPr>
        <sz val="10"/>
        <rFont val="Arial"/>
        <family val="0"/>
        <charset val="1"/>
      </rPr>
      <t xml:space="preserve">/author/nouvelle-workz/ </t>
    </r>
    <r>
      <rPr>
        <sz val="10"/>
        <rFont val="Noto Sans CJK SC"/>
        <family val="2"/>
      </rPr>
      <t xml:space="preserve">改为 </t>
    </r>
    <r>
      <rPr>
        <sz val="10"/>
        <rFont val="Arial"/>
        <family val="0"/>
        <charset val="1"/>
      </rPr>
      <t xml:space="preserve">James Liang + Person schema + 9 </t>
    </r>
    <r>
      <rPr>
        <sz val="10"/>
        <rFont val="Noto Sans CJK SC"/>
        <family val="2"/>
      </rPr>
      <t xml:space="preserve">年经验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照片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职衔</t>
    </r>
  </si>
  <si>
    <r>
      <rPr>
        <sz val="10"/>
        <rFont val="Arial"/>
        <family val="0"/>
        <charset val="1"/>
      </rPr>
      <t xml:space="preserve">E-E-A-T </t>
    </r>
    <r>
      <rPr>
        <sz val="10"/>
        <rFont val="Noto Sans CJK SC"/>
        <family val="2"/>
      </rPr>
      <t xml:space="preserve">核心；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引擎倾向引用有具名专家的内容。</t>
    </r>
  </si>
  <si>
    <r>
      <rPr>
        <sz val="10"/>
        <rFont val="Arial"/>
        <family val="0"/>
        <charset val="1"/>
      </rPr>
      <t xml:space="preserve">WP: </t>
    </r>
    <r>
      <rPr>
        <sz val="10"/>
        <rFont val="Noto Sans CJK SC"/>
        <family val="2"/>
      </rPr>
      <t xml:space="preserve">用户资料 </t>
    </r>
    <r>
      <rPr>
        <sz val="10"/>
        <rFont val="Arial"/>
        <family val="0"/>
        <charset val="1"/>
      </rPr>
      <t xml:space="preserve">+ schema</t>
    </r>
  </si>
  <si>
    <t xml:space="preserve">B07</t>
  </si>
  <si>
    <r>
      <rPr>
        <sz val="10"/>
        <rFont val="Noto Sans CJK SC"/>
        <family val="2"/>
      </rPr>
      <t xml:space="preserve">修服务页 </t>
    </r>
    <r>
      <rPr>
        <sz val="10"/>
        <rFont val="Arial"/>
        <family val="0"/>
        <charset val="1"/>
      </rPr>
      <t xml:space="preserve">og:type=article → website</t>
    </r>
    <r>
      <rPr>
        <sz val="10"/>
        <rFont val="Noto Sans CJK SC"/>
        <family val="2"/>
      </rPr>
      <t xml:space="preserve">；补可见面包屑</t>
    </r>
  </si>
  <si>
    <r>
      <rPr>
        <sz val="10"/>
        <rFont val="Arial"/>
        <family val="0"/>
        <charset val="1"/>
      </rPr>
      <t xml:space="preserve">BreadcrumbList </t>
    </r>
    <r>
      <rPr>
        <sz val="10"/>
        <rFont val="Noto Sans CJK SC"/>
        <family val="2"/>
      </rPr>
      <t xml:space="preserve">存在但无对应可见元素。</t>
    </r>
  </si>
  <si>
    <t xml:space="preserve">B08</t>
  </si>
  <si>
    <t xml:space="preserve">索引</t>
  </si>
  <si>
    <r>
      <rPr>
        <sz val="10"/>
        <rFont val="Noto Sans CJK SC"/>
        <family val="2"/>
      </rPr>
      <t xml:space="preserve">开启 </t>
    </r>
    <r>
      <rPr>
        <sz val="10"/>
        <rFont val="Arial"/>
        <family val="0"/>
        <charset val="1"/>
      </rPr>
      <t xml:space="preserve">Yoast/RankMath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Redirect attachment URLs</t>
    </r>
    <r>
      <rPr>
        <sz val="10"/>
        <rFont val="Noto Sans CJK SC"/>
        <family val="2"/>
      </rPr>
      <t xml:space="preserve">」关闭约 </t>
    </r>
    <r>
      <rPr>
        <sz val="10"/>
        <rFont val="Arial"/>
        <family val="0"/>
        <charset val="1"/>
      </rPr>
      <t xml:space="preserve">70 </t>
    </r>
    <r>
      <rPr>
        <sz val="10"/>
        <rFont val="Noto Sans CJK SC"/>
        <family val="2"/>
      </rPr>
      <t xml:space="preserve">个图片附件页 </t>
    </r>
    <r>
      <rPr>
        <sz val="10"/>
        <rFont val="Arial"/>
        <family val="0"/>
        <charset val="1"/>
      </rPr>
      <t xml:space="preserve">302</t>
    </r>
  </si>
  <si>
    <r>
      <rPr>
        <sz val="10"/>
        <rFont val="Arial"/>
        <family val="0"/>
        <charset val="1"/>
      </rPr>
      <t xml:space="preserve">179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118 </t>
    </r>
    <r>
      <rPr>
        <sz val="10"/>
        <rFont val="Noto Sans CJK SC"/>
        <family val="2"/>
      </rPr>
      <t xml:space="preserve">个是重定向，</t>
    </r>
    <r>
      <rPr>
        <sz val="10"/>
        <rFont val="Arial"/>
        <family val="0"/>
        <charset val="1"/>
      </rPr>
      <t xml:space="preserve">302 </t>
    </r>
    <r>
      <rPr>
        <sz val="10"/>
        <rFont val="Noto Sans CJK SC"/>
        <family val="2"/>
      </rPr>
      <t xml:space="preserve">主体是 </t>
    </r>
    <r>
      <rPr>
        <sz val="10"/>
        <rFont val="Arial"/>
        <family val="0"/>
        <charset val="1"/>
      </rPr>
      <t xml:space="preserve">/667-cckcres-01/ /dsc02415-hdr-2/ </t>
    </r>
    <r>
      <rPr>
        <sz val="10"/>
        <rFont val="Noto Sans CJK SC"/>
        <family val="2"/>
      </rPr>
      <t xml:space="preserve">这类附件页，纯浪费爬取预算。</t>
    </r>
  </si>
  <si>
    <t xml:space="preserve">B09</t>
  </si>
  <si>
    <r>
      <rPr>
        <sz val="10"/>
        <rFont val="Arial"/>
        <family val="0"/>
        <charset val="1"/>
      </rPr>
      <t xml:space="preserve">/category/uncategorized/ </t>
    </r>
    <r>
      <rPr>
        <sz val="10"/>
        <rFont val="Noto Sans CJK SC"/>
        <family val="2"/>
      </rPr>
      <t xml:space="preserve">设 </t>
    </r>
    <r>
      <rPr>
        <sz val="10"/>
        <rFont val="Arial"/>
        <family val="0"/>
        <charset val="1"/>
      </rPr>
      <t xml:space="preserve">noindex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5,057 </t>
    </r>
    <r>
      <rPr>
        <sz val="10"/>
        <rFont val="Noto Sans CJK SC"/>
        <family val="2"/>
      </rPr>
      <t xml:space="preserve">字重复内容）</t>
    </r>
  </si>
  <si>
    <t xml:space="preserve">等于全部博客内容的重复副本。</t>
  </si>
  <si>
    <t xml:space="preserve">B10</t>
  </si>
  <si>
    <r>
      <rPr>
        <sz val="10"/>
        <rFont val="Noto Sans CJK SC"/>
        <family val="2"/>
      </rPr>
      <t xml:space="preserve">建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个真实博客分类并加到 </t>
    </r>
    <r>
      <rPr>
        <sz val="10"/>
        <rFont val="Arial"/>
        <family val="0"/>
        <charset val="1"/>
      </rPr>
      <t xml:space="preserve">/blog/ </t>
    </r>
    <r>
      <rPr>
        <sz val="10"/>
        <rFont val="Noto Sans CJK SC"/>
        <family val="2"/>
      </rPr>
      <t xml:space="preserve">导航</t>
    </r>
  </si>
  <si>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篇文章只有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页分页，无分类无标签 → 内链结构等于没有。</t>
    </r>
  </si>
  <si>
    <r>
      <rPr>
        <sz val="10"/>
        <rFont val="Arial"/>
        <family val="0"/>
        <charset val="1"/>
      </rPr>
      <t xml:space="preserve">WP: </t>
    </r>
    <r>
      <rPr>
        <sz val="10"/>
        <rFont val="Noto Sans CJK SC"/>
        <family val="2"/>
      </rPr>
      <t xml:space="preserve">分类 </t>
    </r>
    <r>
      <rPr>
        <sz val="10"/>
        <rFont val="Arial"/>
        <family val="0"/>
        <charset val="1"/>
      </rPr>
      <t xml:space="preserve">+ /blog/ </t>
    </r>
    <r>
      <rPr>
        <sz val="10"/>
        <rFont val="Noto Sans CJK SC"/>
        <family val="2"/>
      </rPr>
      <t xml:space="preserve">模板</t>
    </r>
  </si>
  <si>
    <t xml:space="preserve">B11</t>
  </si>
  <si>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epoxy grout </t>
    </r>
    <r>
      <rPr>
        <sz val="10"/>
        <rFont val="Noto Sans CJK SC"/>
        <family val="2"/>
      </rPr>
      <t xml:space="preserve">产品页 </t>
    </r>
    <r>
      <rPr>
        <sz val="10"/>
        <rFont val="Arial"/>
        <family val="0"/>
        <charset val="1"/>
      </rPr>
      <t xml:space="preserve">+ 3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product-category </t>
    </r>
    <r>
      <rPr>
        <sz val="10"/>
        <rFont val="Noto Sans CJK SC"/>
        <family val="2"/>
      </rPr>
      <t xml:space="preserve">设 </t>
    </r>
    <r>
      <rPr>
        <sz val="10"/>
        <rFont val="Arial"/>
        <family val="0"/>
        <charset val="1"/>
      </rPr>
      <t xml:space="preserve">noindex ⚠</t>
    </r>
    <r>
      <rPr>
        <sz val="10"/>
        <rFont val="Noto Sans CJK SC"/>
        <family val="2"/>
      </rPr>
      <t xml:space="preserve">先确认是否真实收入来源</t>
    </r>
  </si>
  <si>
    <r>
      <rPr>
        <sz val="10"/>
        <rFont val="Noto Sans CJK SC"/>
        <family val="2"/>
      </rPr>
      <t xml:space="preserve">各 </t>
    </r>
    <r>
      <rPr>
        <sz val="10"/>
        <rFont val="Arial"/>
        <family val="0"/>
        <charset val="1"/>
      </rPr>
      <t xml:space="preserve">159 </t>
    </r>
    <r>
      <rPr>
        <sz val="10"/>
        <rFont val="Noto Sans CJK SC"/>
        <family val="2"/>
      </rPr>
      <t xml:space="preserve">字与主业务无关，拖累整站质量评分。若有真实收入则改为扩写到 </t>
    </r>
    <r>
      <rPr>
        <sz val="10"/>
        <rFont val="Arial"/>
        <family val="0"/>
        <charset val="1"/>
      </rPr>
      <t xml:space="preserve">400+ </t>
    </r>
    <r>
      <rPr>
        <sz val="10"/>
        <rFont val="Noto Sans CJK SC"/>
        <family val="2"/>
      </rPr>
      <t xml:space="preserve">字 </t>
    </r>
    <r>
      <rPr>
        <sz val="10"/>
        <rFont val="Arial"/>
        <family val="0"/>
        <charset val="1"/>
      </rPr>
      <t xml:space="preserve">+ Product schema</t>
    </r>
    <r>
      <rPr>
        <sz val="10"/>
        <rFont val="Noto Sans CJK SC"/>
        <family val="2"/>
      </rPr>
      <t xml:space="preserve">。</t>
    </r>
  </si>
  <si>
    <t xml:space="preserve">B12</t>
  </si>
  <si>
    <r>
      <rPr>
        <sz val="10"/>
        <rFont val="Arial"/>
        <family val="0"/>
        <charset val="1"/>
      </rPr>
      <t xml:space="preserve">/my-account/ </t>
    </r>
    <r>
      <rPr>
        <sz val="10"/>
        <rFont val="Noto Sans CJK SC"/>
        <family val="2"/>
      </rPr>
      <t xml:space="preserve">返回 </t>
    </r>
    <r>
      <rPr>
        <sz val="10"/>
        <rFont val="Arial"/>
        <family val="0"/>
        <charset val="1"/>
      </rPr>
      <t xml:space="preserve">404 </t>
    </r>
    <r>
      <rPr>
        <sz val="10"/>
        <rFont val="Noto Sans CJK SC"/>
        <family val="2"/>
      </rPr>
      <t xml:space="preserve">却带 </t>
    </r>
    <r>
      <rPr>
        <sz val="10"/>
        <rFont val="Arial"/>
        <family val="0"/>
        <charset val="1"/>
      </rPr>
      <t xml:space="preserve">index,follow → </t>
    </r>
    <r>
      <rPr>
        <sz val="10"/>
        <rFont val="Noto Sans CJK SC"/>
        <family val="2"/>
      </rPr>
      <t xml:space="preserve">设 </t>
    </r>
    <r>
      <rPr>
        <sz val="10"/>
        <rFont val="Arial"/>
        <family val="0"/>
        <charset val="1"/>
      </rPr>
      <t xml:space="preserve">noindex</t>
    </r>
  </si>
  <si>
    <r>
      <rPr>
        <sz val="10"/>
        <rFont val="Arial"/>
        <family val="0"/>
        <charset val="1"/>
      </rPr>
      <t xml:space="preserve">cart/checkout </t>
    </r>
    <r>
      <rPr>
        <sz val="10"/>
        <rFont val="Noto Sans CJK SC"/>
        <family val="2"/>
      </rPr>
      <t xml:space="preserve">已正确处理，这一个漏了。</t>
    </r>
  </si>
  <si>
    <t xml:space="preserve">B13</t>
  </si>
  <si>
    <r>
      <rPr>
        <sz val="10"/>
        <rFont val="Arial"/>
        <family val="0"/>
        <charset val="1"/>
      </rPr>
      <t xml:space="preserve">robots.txt </t>
    </r>
    <r>
      <rPr>
        <sz val="10"/>
        <rFont val="Noto Sans CJK SC"/>
        <family val="2"/>
      </rPr>
      <t xml:space="preserve">补 </t>
    </r>
    <r>
      <rPr>
        <sz val="10"/>
        <rFont val="Arial"/>
        <family val="0"/>
        <charset val="1"/>
      </rPr>
      <t xml:space="preserve">Disallow: /?templately_library=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sitemap </t>
    </r>
    <r>
      <rPr>
        <sz val="10"/>
        <rFont val="Noto Sans CJK SC"/>
        <family val="2"/>
      </rPr>
      <t xml:space="preserve">移除 </t>
    </r>
    <r>
      <rPr>
        <sz val="10"/>
        <rFont val="Arial"/>
        <family val="0"/>
        <charset val="1"/>
      </rPr>
      <t xml:space="preserve">templately/product/product-category/attachment</t>
    </r>
  </si>
  <si>
    <r>
      <rPr>
        <sz val="10"/>
        <rFont val="Arial"/>
        <family val="0"/>
        <charset val="1"/>
      </rPr>
      <t xml:space="preserve">/?templately_library=footer-template </t>
    </r>
    <r>
      <rPr>
        <sz val="10"/>
        <rFont val="Noto Sans CJK SC"/>
        <family val="2"/>
      </rPr>
      <t xml:space="preserve">返回 </t>
    </r>
    <r>
      <rPr>
        <sz val="10"/>
        <rFont val="Arial"/>
        <family val="0"/>
        <charset val="1"/>
      </rPr>
      <t xml:space="preserve">200 + index,follow </t>
    </r>
    <r>
      <rPr>
        <sz val="10"/>
        <rFont val="Noto Sans CJK SC"/>
        <family val="2"/>
      </rPr>
      <t xml:space="preserve">且已进 </t>
    </r>
    <r>
      <rPr>
        <sz val="10"/>
        <rFont val="Arial"/>
        <family val="0"/>
        <charset val="1"/>
      </rPr>
      <t xml:space="preserve">sitemap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robots </t>
    </r>
    <r>
      <rPr>
        <sz val="10"/>
        <rFont val="Noto Sans CJK SC"/>
        <family val="2"/>
      </rPr>
      <t xml:space="preserve">挡了 </t>
    </r>
    <r>
      <rPr>
        <sz val="10"/>
        <rFont val="Arial"/>
        <family val="0"/>
        <charset val="1"/>
      </rPr>
      <t xml:space="preserve">elementor_library </t>
    </r>
    <r>
      <rPr>
        <sz val="10"/>
        <rFont val="Noto Sans CJK SC"/>
        <family val="2"/>
      </rPr>
      <t xml:space="preserve">和 </t>
    </r>
    <r>
      <rPr>
        <sz val="10"/>
        <rFont val="Arial"/>
        <family val="0"/>
        <charset val="1"/>
      </rPr>
      <t xml:space="preserve">elementskit_template</t>
    </r>
    <r>
      <rPr>
        <sz val="10"/>
        <rFont val="Noto Sans CJK SC"/>
        <family val="2"/>
      </rPr>
      <t xml:space="preserve">，漏了这个）。</t>
    </r>
  </si>
  <si>
    <r>
      <rPr>
        <sz val="10"/>
        <rFont val="Arial"/>
        <family val="0"/>
        <charset val="1"/>
      </rPr>
      <t xml:space="preserve">robots.txt + SEO </t>
    </r>
    <r>
      <rPr>
        <sz val="10"/>
        <rFont val="Noto Sans CJK SC"/>
        <family val="2"/>
      </rPr>
      <t xml:space="preserve">插件</t>
    </r>
  </si>
  <si>
    <t xml:space="preserve">B14</t>
  </si>
  <si>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Portfolio </t>
    </r>
    <r>
      <rPr>
        <sz val="10"/>
        <rFont val="Noto Sans CJK SC"/>
        <family val="2"/>
      </rPr>
      <t xml:space="preserve">案例页从 </t>
    </r>
    <r>
      <rPr>
        <sz val="10"/>
        <rFont val="Arial"/>
        <family val="0"/>
        <charset val="1"/>
      </rPr>
      <t xml:space="preserve">77-89 </t>
    </r>
    <r>
      <rPr>
        <sz val="10"/>
        <rFont val="Noto Sans CJK SC"/>
        <family val="2"/>
      </rPr>
      <t xml:space="preserve">字扩写到 </t>
    </r>
    <r>
      <rPr>
        <sz val="10"/>
        <rFont val="Arial"/>
        <family val="0"/>
        <charset val="1"/>
      </rPr>
      <t xml:space="preserve">400+ </t>
    </r>
    <r>
      <rPr>
        <sz val="10"/>
        <rFont val="Noto Sans CJK SC"/>
        <family val="2"/>
      </rPr>
      <t xml:space="preserve">字（面积</t>
    </r>
    <r>
      <rPr>
        <sz val="10"/>
        <rFont val="Arial"/>
        <family val="0"/>
        <charset val="1"/>
      </rPr>
      <t xml:space="preserve">/scope/</t>
    </r>
    <r>
      <rPr>
        <sz val="10"/>
        <rFont val="Noto Sans CJK SC"/>
        <family val="2"/>
      </rPr>
      <t xml:space="preserve">工期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材料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遇到的问题与解法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造价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内链）</t>
    </r>
  </si>
  <si>
    <r>
      <rPr>
        <sz val="10"/>
        <rFont val="Noto Sans CJK SC"/>
        <family val="2"/>
      </rPr>
      <t xml:space="preserve">你唯一的 </t>
    </r>
    <r>
      <rPr>
        <sz val="10"/>
        <rFont val="Arial"/>
        <family val="0"/>
        <charset val="1"/>
      </rPr>
      <t xml:space="preserve">E-E-A-T </t>
    </r>
    <r>
      <rPr>
        <sz val="10"/>
        <rFont val="Noto Sans CJK SC"/>
        <family val="2"/>
      </rPr>
      <t xml:space="preserve">实证资产，现在完全浪费。「遇到的问题与解法」是 </t>
    </r>
    <r>
      <rPr>
        <sz val="10"/>
        <rFont val="Arial"/>
        <family val="0"/>
        <charset val="1"/>
      </rPr>
      <t xml:space="preserve">Experience </t>
    </r>
    <r>
      <rPr>
        <sz val="10"/>
        <rFont val="Noto Sans CJK SC"/>
        <family val="2"/>
      </rPr>
      <t xml:space="preserve">核心，也是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最愿引用的部分。</t>
    </r>
  </si>
  <si>
    <r>
      <rPr>
        <sz val="10"/>
        <rFont val="Arial"/>
        <family val="0"/>
        <charset val="1"/>
      </rPr>
      <t xml:space="preserve">WP: 12 </t>
    </r>
    <r>
      <rPr>
        <sz val="10"/>
        <rFont val="Noto Sans CJK SC"/>
        <family val="2"/>
      </rPr>
      <t xml:space="preserve">个页面</t>
    </r>
  </si>
  <si>
    <t xml:space="preserve">6h</t>
  </si>
  <si>
    <t xml:space="preserve">B15</t>
  </si>
  <si>
    <r>
      <rPr>
        <sz val="10"/>
        <rFont val="Noto Sans CJK SC"/>
        <family val="2"/>
      </rPr>
      <t xml:space="preserve">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个房产类型归档页 </t>
    </r>
    <r>
      <rPr>
        <sz val="10"/>
        <rFont val="Arial"/>
        <family val="0"/>
        <charset val="1"/>
      </rPr>
      <t xml:space="preserve">BTO / HDB Resale / Condo</t>
    </r>
    <r>
      <rPr>
        <sz val="10"/>
        <rFont val="Noto Sans CJK SC"/>
        <family val="2"/>
      </rPr>
      <t xml:space="preserve">（复用现有 </t>
    </r>
    <r>
      <rPr>
        <sz val="10"/>
        <rFont val="Arial"/>
        <family val="0"/>
        <charset val="1"/>
      </rPr>
      <t xml:space="preserve">Portfolio </t>
    </r>
    <r>
      <rPr>
        <sz val="10"/>
        <rFont val="Noto Sans CJK SC"/>
        <family val="2"/>
      </rPr>
      <t xml:space="preserve">案例）</t>
    </r>
  </si>
  <si>
    <r>
      <rPr>
        <sz val="10"/>
        <rFont val="Arial"/>
        <family val="0"/>
        <charset val="1"/>
      </rPr>
      <t xml:space="preserve">Portfolio </t>
    </r>
    <r>
      <rPr>
        <sz val="10"/>
        <rFont val="Noto Sans CJK SC"/>
        <family val="2"/>
      </rPr>
      <t xml:space="preserve">已有 </t>
    </r>
    <r>
      <rPr>
        <sz val="10"/>
        <rFont val="Arial"/>
        <family val="0"/>
        <charset val="1"/>
      </rPr>
      <t xml:space="preserve">436A Punggol(BTO 5rm)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241 Tengah(BTO 4rm)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142 Rivervale(Resale 5rm)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101 Woodland Views + 80 Flora Rd(Condo)</t>
    </r>
    <r>
      <rPr>
        <sz val="10"/>
        <rFont val="Noto Sans CJK SC"/>
        <family val="2"/>
      </rPr>
      <t xml:space="preserve">。同时修掉 </t>
    </r>
    <r>
      <rPr>
        <sz val="10"/>
        <rFont val="Arial"/>
        <family val="0"/>
        <charset val="1"/>
      </rPr>
      <t xml:space="preserve">/residential/ </t>
    </r>
    <r>
      <rPr>
        <sz val="10"/>
        <rFont val="Noto Sans CJK SC"/>
        <family val="2"/>
      </rPr>
      <t xml:space="preserve">标题写 </t>
    </r>
    <r>
      <rPr>
        <sz val="10"/>
        <rFont val="Arial"/>
        <family val="0"/>
        <charset val="1"/>
      </rPr>
      <t xml:space="preserve">HDB&amp;Condo </t>
    </r>
    <r>
      <rPr>
        <sz val="10"/>
        <rFont val="Noto Sans CJK SC"/>
        <family val="2"/>
      </rPr>
      <t xml:space="preserve">但正文只列 </t>
    </r>
    <r>
      <rPr>
        <sz val="10"/>
        <rFont val="Arial"/>
        <family val="0"/>
        <charset val="1"/>
      </rPr>
      <t xml:space="preserve">13 </t>
    </r>
    <r>
      <rPr>
        <sz val="10"/>
        <rFont val="Noto Sans CJK SC"/>
        <family val="2"/>
      </rPr>
      <t xml:space="preserve">个工种的问题。</t>
    </r>
  </si>
  <si>
    <t xml:space="preserve">3h</t>
  </si>
  <si>
    <t xml:space="preserve">B16</t>
  </si>
  <si>
    <t xml:space="preserve">内链</t>
  </si>
  <si>
    <r>
      <rPr>
        <sz val="10"/>
        <rFont val="Noto Sans CJK SC"/>
        <family val="2"/>
      </rPr>
      <t xml:space="preserve">每个服务页正文至少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条内链；锚文本停用 </t>
    </r>
    <r>
      <rPr>
        <sz val="10"/>
        <rFont val="Arial"/>
        <family val="0"/>
        <charset val="1"/>
      </rPr>
      <t xml:space="preserve">Learn More </t>
    </r>
    <r>
      <rPr>
        <sz val="10"/>
        <rFont val="Noto Sans CJK SC"/>
        <family val="2"/>
      </rPr>
      <t xml:space="preserve">改描述性</t>
    </r>
  </si>
  <si>
    <r>
      <rPr>
        <sz val="10"/>
        <rFont val="Noto Sans CJK SC"/>
        <family val="2"/>
      </rPr>
      <t xml:space="preserve">实测 </t>
    </r>
    <r>
      <rPr>
        <sz val="10"/>
        <rFont val="Arial"/>
        <family val="0"/>
        <charset val="1"/>
      </rPr>
      <t xml:space="preserve">/residential/plumbing/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/residential/tiling-works/ </t>
    </r>
    <r>
      <rPr>
        <sz val="10"/>
        <rFont val="Noto Sans CJK SC"/>
        <family val="2"/>
      </rPr>
      <t xml:space="preserve">正文内链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条；</t>
    </r>
    <r>
      <rPr>
        <sz val="10"/>
        <rFont val="Arial"/>
        <family val="0"/>
        <charset val="1"/>
      </rPr>
      <t xml:space="preserve">/residential/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13 </t>
    </r>
    <r>
      <rPr>
        <sz val="10"/>
        <rFont val="Noto Sans CJK SC"/>
        <family val="2"/>
      </rPr>
      <t xml:space="preserve">个链接锚文本全是 </t>
    </r>
    <r>
      <rPr>
        <sz val="10"/>
        <rFont val="Arial"/>
        <family val="0"/>
        <charset val="1"/>
      </rPr>
      <t xml:space="preserve">Learn More = </t>
    </r>
    <r>
      <rPr>
        <sz val="10"/>
        <rFont val="Noto Sans CJK SC"/>
        <family val="2"/>
      </rPr>
      <t xml:space="preserve">零关键词信号。</t>
    </r>
  </si>
  <si>
    <r>
      <rPr>
        <sz val="10"/>
        <rFont val="Arial"/>
        <family val="0"/>
        <charset val="1"/>
      </rPr>
      <t xml:space="preserve">WP: </t>
    </r>
    <r>
      <rPr>
        <sz val="10"/>
        <rFont val="Noto Sans CJK SC"/>
        <family val="2"/>
      </rPr>
      <t xml:space="preserve">全站</t>
    </r>
  </si>
  <si>
    <t xml:space="preserve">4h</t>
  </si>
  <si>
    <t xml:space="preserve">B17</t>
  </si>
  <si>
    <r>
      <rPr>
        <sz val="10"/>
        <rFont val="Noto Sans CJK SC"/>
        <family val="2"/>
      </rPr>
      <t xml:space="preserve">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个内链簇：</t>
    </r>
    <r>
      <rPr>
        <sz val="10"/>
        <rFont val="Arial"/>
        <family val="0"/>
        <charset val="1"/>
      </rPr>
      <t xml:space="preserve">Reinstatement </t>
    </r>
    <r>
      <rPr>
        <sz val="10"/>
        <rFont val="Noto Sans CJK SC"/>
        <family val="2"/>
      </rPr>
      <t xml:space="preserve">簇 </t>
    </r>
    <r>
      <rPr>
        <sz val="10"/>
        <rFont val="Arial"/>
        <family val="0"/>
        <charset val="1"/>
      </rPr>
      <t xml:space="preserve">/ Bathroom </t>
    </r>
    <r>
      <rPr>
        <sz val="10"/>
        <rFont val="Noto Sans CJK SC"/>
        <family val="2"/>
      </rPr>
      <t xml:space="preserve">簇 </t>
    </r>
    <r>
      <rPr>
        <sz val="10"/>
        <rFont val="Arial"/>
        <family val="0"/>
        <charset val="1"/>
      </rPr>
      <t xml:space="preserve">/ HDB-BTO </t>
    </r>
    <r>
      <rPr>
        <sz val="10"/>
        <rFont val="Noto Sans CJK SC"/>
        <family val="2"/>
      </rPr>
      <t xml:space="preserve">簇</t>
    </r>
  </si>
  <si>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篇博文基本是孤岛。</t>
    </r>
  </si>
  <si>
    <t xml:space="preserve">B18</t>
  </si>
  <si>
    <t xml:space="preserve">CWV</t>
  </si>
  <si>
    <r>
      <rPr>
        <sz val="10"/>
        <rFont val="Noto Sans CJK SC"/>
        <family val="2"/>
      </rPr>
      <t xml:space="preserve">关掉首屏 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elementor-invisible + fadeIn </t>
    </r>
    <r>
      <rPr>
        <sz val="10"/>
        <rFont val="Noto Sans CJK SC"/>
        <family val="2"/>
      </rPr>
      <t xml:space="preserve">入场动画</t>
    </r>
  </si>
  <si>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容器 </t>
    </r>
    <r>
      <rPr>
        <sz val="10"/>
        <rFont val="Arial"/>
        <family val="0"/>
        <charset val="1"/>
      </rPr>
      <t xml:space="preserve">JS </t>
    </r>
    <r>
      <rPr>
        <sz val="10"/>
        <rFont val="Noto Sans CJK SC"/>
        <family val="2"/>
      </rPr>
      <t xml:space="preserve">执行前 </t>
    </r>
    <r>
      <rPr>
        <sz val="10"/>
        <rFont val="Arial"/>
        <family val="0"/>
        <charset val="1"/>
      </rPr>
      <t xml:space="preserve">visibility:hidden → LCP </t>
    </r>
    <r>
      <rPr>
        <sz val="10"/>
        <rFont val="Noto Sans CJK SC"/>
        <family val="2"/>
      </rPr>
      <t xml:space="preserve">元素必须等 </t>
    </r>
    <r>
      <rPr>
        <sz val="10"/>
        <rFont val="Arial"/>
        <family val="0"/>
        <charset val="1"/>
      </rPr>
      <t xml:space="preserve">JS </t>
    </r>
    <r>
      <rPr>
        <sz val="10"/>
        <rFont val="Noto Sans CJK SC"/>
        <family val="2"/>
      </rPr>
      <t xml:space="preserve">才能绘制。</t>
    </r>
  </si>
  <si>
    <r>
      <rPr>
        <sz val="10"/>
        <rFont val="Arial"/>
        <family val="0"/>
        <charset val="1"/>
      </rPr>
      <t xml:space="preserve">Elementor: </t>
    </r>
    <r>
      <rPr>
        <sz val="10"/>
        <rFont val="Noto Sans CJK SC"/>
        <family val="2"/>
      </rPr>
      <t xml:space="preserve">首页 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容器</t>
    </r>
  </si>
  <si>
    <t xml:space="preserve">B19</t>
  </si>
  <si>
    <r>
      <rPr>
        <sz val="10"/>
        <rFont val="Noto Sans CJK SC"/>
        <family val="2"/>
      </rPr>
      <t xml:space="preserve">跑 </t>
    </r>
    <r>
      <rPr>
        <sz val="10"/>
        <rFont val="Arial"/>
        <family val="0"/>
        <charset val="1"/>
      </rPr>
      <t xml:space="preserve">PageSpeed Insights + GSC Core Web Vitals </t>
    </r>
    <r>
      <rPr>
        <sz val="10"/>
        <rFont val="Noto Sans CJK SC"/>
        <family val="2"/>
      </rPr>
      <t xml:space="preserve">取真实字段数据；审查 </t>
    </r>
    <r>
      <rPr>
        <sz val="10"/>
        <rFont val="Arial"/>
        <family val="0"/>
        <charset val="1"/>
      </rPr>
      <t xml:space="preserve">Elementor </t>
    </r>
    <r>
      <rPr>
        <sz val="10"/>
        <rFont val="Noto Sans CJK SC"/>
        <family val="2"/>
      </rPr>
      <t xml:space="preserve">插件栈</t>
    </r>
  </si>
  <si>
    <r>
      <rPr>
        <sz val="10"/>
        <rFont val="Noto Sans CJK SC"/>
        <family val="2"/>
      </rPr>
      <t xml:space="preserve">首页 </t>
    </r>
    <r>
      <rPr>
        <sz val="10"/>
        <rFont val="Arial"/>
        <family val="0"/>
        <charset val="1"/>
      </rPr>
      <t xml:space="preserve">595 KB HTML / 127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JS </t>
    </r>
    <r>
      <rPr>
        <sz val="10"/>
        <rFont val="Noto Sans CJK SC"/>
        <family val="2"/>
      </rPr>
      <t xml:space="preserve">文件 </t>
    </r>
    <r>
      <rPr>
        <sz val="10"/>
        <rFont val="Arial"/>
        <family val="0"/>
        <charset val="1"/>
      </rPr>
      <t xml:space="preserve">/ 243 </t>
    </r>
    <r>
      <rPr>
        <sz val="10"/>
        <rFont val="Noto Sans CJK SC"/>
        <family val="2"/>
      </rPr>
      <t xml:space="preserve">个请求。</t>
    </r>
    <r>
      <rPr>
        <sz val="10"/>
        <rFont val="Arial"/>
        <family val="0"/>
        <charset val="1"/>
      </rPr>
      <t xml:space="preserve">CrUX </t>
    </r>
    <r>
      <rPr>
        <sz val="10"/>
        <rFont val="Noto Sans CJK SC"/>
        <family val="2"/>
      </rPr>
      <t xml:space="preserve">数据本次未能取到。</t>
    </r>
  </si>
  <si>
    <t xml:space="preserve">PSI + GSC</t>
  </si>
  <si>
    <t xml:space="preserve">B20</t>
  </si>
  <si>
    <r>
      <rPr>
        <sz val="10"/>
        <rFont val="Arial"/>
        <family val="0"/>
        <charset val="1"/>
      </rPr>
      <t xml:space="preserve">/commercial/reinstatement/ FAQ </t>
    </r>
    <r>
      <rPr>
        <sz val="10"/>
        <rFont val="Noto Sans CJK SC"/>
        <family val="2"/>
      </rPr>
      <t xml:space="preserve">去重（两个同义的「多久」问题）；扩写 </t>
    </r>
    <r>
      <rPr>
        <sz val="10"/>
        <rFont val="Arial"/>
        <family val="0"/>
        <charset val="1"/>
      </rPr>
      <t xml:space="preserve">/commercial/</t>
    </r>
    <r>
      <rPr>
        <sz val="10"/>
        <rFont val="Noto Sans CJK SC"/>
        <family val="2"/>
      </rPr>
      <t xml:space="preserve">（现 </t>
    </r>
    <r>
      <rPr>
        <sz val="10"/>
        <rFont val="Arial"/>
        <family val="0"/>
        <charset val="1"/>
      </rPr>
      <t xml:space="preserve">~180 </t>
    </r>
    <r>
      <rPr>
        <sz val="10"/>
        <rFont val="Noto Sans CJK SC"/>
        <family val="2"/>
      </rPr>
      <t xml:space="preserve">字，全站最薄）到 </t>
    </r>
    <r>
      <rPr>
        <sz val="10"/>
        <rFont val="Arial"/>
        <family val="0"/>
        <charset val="1"/>
      </rPr>
      <t xml:space="preserve">600+ </t>
    </r>
    <r>
      <rPr>
        <sz val="10"/>
        <rFont val="Noto Sans CJK SC"/>
        <family val="2"/>
      </rPr>
      <t xml:space="preserve">字</t>
    </r>
  </si>
  <si>
    <r>
      <rPr>
        <sz val="10"/>
        <rFont val="Noto Sans CJK SC"/>
        <family val="2"/>
      </rPr>
      <t xml:space="preserve">重复 </t>
    </r>
    <r>
      <rPr>
        <sz val="10"/>
        <rFont val="Arial"/>
        <family val="0"/>
        <charset val="1"/>
      </rPr>
      <t xml:space="preserve">FAQ </t>
    </r>
    <r>
      <rPr>
        <sz val="10"/>
        <rFont val="Noto Sans CJK SC"/>
        <family val="2"/>
      </rPr>
      <t xml:space="preserve">稀释 </t>
    </r>
    <r>
      <rPr>
        <sz val="10"/>
        <rFont val="Arial"/>
        <family val="0"/>
        <charset val="1"/>
      </rPr>
      <t xml:space="preserve">FAQPage schema </t>
    </r>
    <r>
      <rPr>
        <sz val="10"/>
        <rFont val="Noto Sans CJK SC"/>
        <family val="2"/>
      </rPr>
      <t xml:space="preserve">价值。</t>
    </r>
  </si>
  <si>
    <t xml:space="preserve">B21</t>
  </si>
  <si>
    <t xml:space="preserve">技术</t>
  </si>
  <si>
    <r>
      <rPr>
        <sz val="10"/>
        <rFont val="Noto Sans CJK SC"/>
        <family val="2"/>
      </rPr>
      <t xml:space="preserve">确认双轨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301 </t>
    </r>
    <r>
      <rPr>
        <sz val="10"/>
        <rFont val="Noto Sans CJK SC"/>
        <family val="2"/>
      </rPr>
      <t xml:space="preserve">不是 </t>
    </r>
    <r>
      <rPr>
        <sz val="10"/>
        <rFont val="Arial"/>
        <family val="0"/>
        <charset val="1"/>
      </rPr>
      <t xml:space="preserve">302</t>
    </r>
    <r>
      <rPr>
        <sz val="10"/>
        <rFont val="Noto Sans CJK SC"/>
        <family val="2"/>
      </rPr>
      <t xml:space="preserve">（已验证在跳转且 </t>
    </r>
    <r>
      <rPr>
        <sz val="10"/>
        <rFont val="Arial"/>
        <family val="0"/>
        <charset val="1"/>
      </rPr>
      <t xml:space="preserve">canonical </t>
    </r>
    <r>
      <rPr>
        <sz val="10"/>
        <rFont val="Noto Sans CJK SC"/>
        <family val="2"/>
      </rPr>
      <t xml:space="preserve">正确，仅状态码待确认）</t>
    </r>
  </si>
  <si>
    <r>
      <rPr>
        <sz val="10"/>
        <rFont val="Noto Sans CJK SC"/>
        <family val="2"/>
      </rPr>
      <t xml:space="preserve">跨源 </t>
    </r>
    <r>
      <rPr>
        <sz val="10"/>
        <rFont val="Arial"/>
        <family val="0"/>
        <charset val="1"/>
      </rPr>
      <t xml:space="preserve">timing </t>
    </r>
    <r>
      <rPr>
        <sz val="10"/>
        <rFont val="Noto Sans CJK SC"/>
        <family val="2"/>
      </rPr>
      <t xml:space="preserve">限制无法区分。若是 </t>
    </r>
    <r>
      <rPr>
        <sz val="10"/>
        <rFont val="Arial"/>
        <family val="0"/>
        <charset val="1"/>
      </rPr>
      <t xml:space="preserve">302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301</t>
    </r>
    <r>
      <rPr>
        <sz val="10"/>
        <rFont val="Noto Sans CJK SC"/>
        <family val="2"/>
      </rPr>
      <t xml:space="preserve">。</t>
    </r>
  </si>
  <si>
    <t xml:space="preserve">GSC URL Inspection / curl</t>
  </si>
  <si>
    <t xml:space="preserve">C01</t>
  </si>
  <si>
    <t xml:space="preserve">P2</t>
  </si>
  <si>
    <t xml:space="preserve">W2-W3</t>
  </si>
  <si>
    <r>
      <rPr>
        <sz val="10"/>
        <rFont val="Noto Sans CJK SC"/>
        <family val="2"/>
      </rPr>
      <t xml:space="preserve">新建 </t>
    </r>
    <r>
      <rPr>
        <sz val="10"/>
        <rFont val="Arial"/>
        <family val="0"/>
        <charset val="1"/>
      </rPr>
      <t xml:space="preserve">/bathroom-renovation-singapore/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1,800-2,500</t>
    </r>
    <r>
      <rPr>
        <sz val="10"/>
        <rFont val="Noto Sans CJK SC"/>
        <family val="2"/>
      </rPr>
      <t xml:space="preserve">字）；</t>
    </r>
    <r>
      <rPr>
        <sz val="10"/>
        <rFont val="Arial"/>
        <family val="0"/>
        <charset val="1"/>
      </rPr>
      <t xml:space="preserve">/residential/plumbing/ </t>
    </r>
    <r>
      <rPr>
        <sz val="10"/>
        <rFont val="Noto Sans CJK SC"/>
        <family val="2"/>
      </rPr>
      <t xml:space="preserve">收窄回纯 </t>
    </r>
    <r>
      <rPr>
        <sz val="10"/>
        <rFont val="Arial"/>
        <family val="0"/>
        <charset val="1"/>
      </rPr>
      <t xml:space="preserve">plumbing </t>
    </r>
    <r>
      <rPr>
        <sz val="10"/>
        <rFont val="Noto Sans CJK SC"/>
        <family val="2"/>
      </rPr>
      <t xml:space="preserve">意图</t>
    </r>
  </si>
  <si>
    <r>
      <rPr>
        <sz val="10"/>
        <rFont val="Noto Sans CJK SC"/>
        <family val="2"/>
      </rPr>
      <t xml:space="preserve">目标簇约 </t>
    </r>
    <r>
      <rPr>
        <sz val="10"/>
        <rFont val="Arial"/>
        <family val="0"/>
        <charset val="1"/>
      </rPr>
      <t xml:space="preserve">320 </t>
    </r>
    <r>
      <rPr>
        <sz val="10"/>
        <rFont val="Noto Sans CJK SC"/>
        <family val="2"/>
      </rPr>
      <t xml:space="preserve">展示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周、当前平均位置 </t>
    </r>
    <r>
      <rPr>
        <sz val="10"/>
        <rFont val="Arial"/>
        <family val="0"/>
        <charset val="1"/>
      </rPr>
      <t xml:space="preserve">~14 —— </t>
    </r>
    <r>
      <rPr>
        <sz val="10"/>
        <rFont val="Noto Sans CJK SC"/>
        <family val="2"/>
      </rPr>
      <t xml:space="preserve">全站唯一接近点击悬崖的簇。而 </t>
    </r>
    <r>
      <rPr>
        <sz val="10"/>
        <rFont val="Arial"/>
        <family val="0"/>
        <charset val="1"/>
      </rPr>
      <t xml:space="preserve">/residential/plumbing/ </t>
    </r>
    <r>
      <rPr>
        <sz val="10"/>
        <rFont val="Noto Sans CJK SC"/>
        <family val="2"/>
      </rPr>
      <t xml:space="preserve">是全站展示最高的页（</t>
    </r>
    <r>
      <rPr>
        <sz val="10"/>
        <rFont val="Arial"/>
        <family val="0"/>
        <charset val="1"/>
      </rPr>
      <t xml:space="preserve">1,058 </t>
    </r>
    <r>
      <rPr>
        <sz val="10"/>
        <rFont val="Noto Sans CJK SC"/>
        <family val="2"/>
      </rPr>
      <t xml:space="preserve">展示 </t>
    </r>
    <r>
      <rPr>
        <sz val="10"/>
        <rFont val="Arial"/>
        <family val="0"/>
        <charset val="1"/>
      </rPr>
      <t xml:space="preserve">= 24%</t>
    </r>
    <r>
      <rPr>
        <sz val="10"/>
        <rFont val="Noto Sans CJK SC"/>
        <family val="2"/>
      </rPr>
      <t xml:space="preserve">）却只有 </t>
    </r>
    <r>
      <rPr>
        <sz val="10"/>
        <rFont val="Arial"/>
        <family val="0"/>
        <charset val="1"/>
      </rPr>
      <t xml:space="preserve">450 </t>
    </r>
    <r>
      <rPr>
        <sz val="10"/>
        <rFont val="Noto Sans CJK SC"/>
        <family val="2"/>
      </rPr>
      <t xml:space="preserve">字、无 </t>
    </r>
    <r>
      <rPr>
        <sz val="10"/>
        <rFont val="Arial"/>
        <family val="0"/>
        <charset val="1"/>
      </rPr>
      <t xml:space="preserve">FAQ </t>
    </r>
    <r>
      <rPr>
        <sz val="10"/>
        <rFont val="Noto Sans CJK SC"/>
        <family val="2"/>
      </rPr>
      <t xml:space="preserve">无价格表无内链无表单，且一页同打 </t>
    </r>
    <r>
      <rPr>
        <sz val="10"/>
        <rFont val="Arial"/>
        <family val="0"/>
        <charset val="1"/>
      </rPr>
      <t xml:space="preserve">bathroom+plumbing </t>
    </r>
    <r>
      <rPr>
        <sz val="10"/>
        <rFont val="Noto Sans CJK SC"/>
        <family val="2"/>
      </rPr>
      <t xml:space="preserve">两个意图。</t>
    </r>
  </si>
  <si>
    <r>
      <rPr>
        <sz val="10"/>
        <rFont val="Arial"/>
        <family val="0"/>
        <charset val="1"/>
      </rPr>
      <t xml:space="preserve">WP: </t>
    </r>
    <r>
      <rPr>
        <sz val="10"/>
        <rFont val="Noto Sans CJK SC"/>
        <family val="2"/>
      </rPr>
      <t xml:space="preserve">新页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页</t>
    </r>
  </si>
  <si>
    <t xml:space="preserve">8h</t>
  </si>
  <si>
    <t xml:space="preserve">C02</t>
  </si>
  <si>
    <t xml:space="preserve">验证</t>
  </si>
  <si>
    <r>
      <rPr>
        <sz val="10"/>
        <rFont val="Noto Sans CJK SC"/>
        <family val="2"/>
      </rPr>
      <t xml:space="preserve">先在 </t>
    </r>
    <r>
      <rPr>
        <sz val="10"/>
        <rFont val="Arial"/>
        <family val="0"/>
        <charset val="1"/>
      </rPr>
      <t xml:space="preserve">GSC </t>
    </r>
    <r>
      <rPr>
        <sz val="10"/>
        <rFont val="Noto Sans CJK SC"/>
        <family val="2"/>
      </rPr>
      <t xml:space="preserve">加国家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新加坡过滤器验证 </t>
    </r>
    <r>
      <rPr>
        <sz val="10"/>
        <rFont val="Arial"/>
        <family val="0"/>
        <charset val="1"/>
      </rPr>
      <t xml:space="preserve">bathroom </t>
    </r>
    <r>
      <rPr>
        <sz val="10"/>
        <rFont val="Noto Sans CJK SC"/>
        <family val="2"/>
      </rPr>
      <t xml:space="preserve">簇（</t>
    </r>
    <r>
      <rPr>
        <sz val="10"/>
        <rFont val="Arial"/>
        <family val="0"/>
        <charset val="1"/>
      </rPr>
      <t xml:space="preserve">bathroom remodel contractor </t>
    </r>
    <r>
      <rPr>
        <sz val="10"/>
        <rFont val="Noto Sans CJK SC"/>
        <family val="2"/>
      </rPr>
      <t xml:space="preserve">是美式表述，美国有 </t>
    </r>
    <r>
      <rPr>
        <sz val="10"/>
        <rFont val="Arial"/>
        <family val="0"/>
        <charset val="1"/>
      </rPr>
      <t xml:space="preserve">67 </t>
    </r>
    <r>
      <rPr>
        <sz val="10"/>
        <rFont val="Noto Sans CJK SC"/>
        <family val="2"/>
      </rPr>
      <t xml:space="preserve">展示）</t>
    </r>
  </si>
  <si>
    <r>
      <rPr>
        <sz val="10"/>
        <rFont val="Noto Sans CJK SC"/>
        <family val="2"/>
      </rPr>
      <t xml:space="preserve">若一半展示来自美国，这个机会要打折。</t>
    </r>
    <r>
      <rPr>
        <sz val="10"/>
        <rFont val="Arial"/>
        <family val="0"/>
        <charset val="1"/>
      </rPr>
      <t xml:space="preserve">bathroom contractors singapore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39 </t>
    </r>
    <r>
      <rPr>
        <sz val="10"/>
        <rFont val="Noto Sans CJK SC"/>
        <family val="2"/>
      </rPr>
      <t xml:space="preserve">展示）肯定是本地的。</t>
    </r>
  </si>
  <si>
    <t xml:space="preserve">C03</t>
  </si>
  <si>
    <t xml:space="preserve">W3-W4</t>
  </si>
  <si>
    <r>
      <rPr>
        <sz val="10"/>
        <rFont val="Noto Sans CJK SC"/>
        <family val="2"/>
      </rPr>
      <t xml:space="preserve">新建 </t>
    </r>
    <r>
      <rPr>
        <sz val="10"/>
        <rFont val="Arial"/>
        <family val="0"/>
        <charset val="1"/>
      </rPr>
      <t xml:space="preserve">/warehouse-reinstatement-singapore/</t>
    </r>
  </si>
  <si>
    <r>
      <rPr>
        <sz val="10"/>
        <rFont val="Arial"/>
        <family val="0"/>
        <charset val="1"/>
      </rPr>
      <t xml:space="preserve">8/10 </t>
    </r>
    <r>
      <rPr>
        <sz val="10"/>
        <rFont val="Noto Sans CJK SC"/>
        <family val="2"/>
      </rPr>
      <t xml:space="preserve">高信心：本地包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家全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评论；自然位在排的是金属回收商 </t>
    </r>
    <r>
      <rPr>
        <sz val="10"/>
        <rFont val="Arial"/>
        <family val="0"/>
        <charset val="1"/>
      </rPr>
      <t xml:space="preserve">yihui.sg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racking </t>
    </r>
    <r>
      <rPr>
        <sz val="10"/>
        <rFont val="Noto Sans CJK SC"/>
        <family val="2"/>
      </rPr>
      <t xml:space="preserve">公司 </t>
    </r>
    <r>
      <rPr>
        <sz val="10"/>
        <rFont val="Arial"/>
        <family val="0"/>
        <charset val="1"/>
      </rPr>
      <t xml:space="preserve">yktoh.com</t>
    </r>
    <r>
      <rPr>
        <sz val="10"/>
        <rFont val="Noto Sans CJK SC"/>
        <family val="2"/>
      </rPr>
      <t xml:space="preserve">、咨询公司 </t>
    </r>
    <r>
      <rPr>
        <sz val="10"/>
        <rFont val="Arial"/>
        <family val="0"/>
        <charset val="1"/>
      </rPr>
      <t xml:space="preserve">mizaconsultants.sg</t>
    </r>
    <r>
      <rPr>
        <sz val="10"/>
        <rFont val="Noto Sans CJK SC"/>
        <family val="2"/>
      </rPr>
      <t xml:space="preserve">。你站上完全没有这个页。</t>
    </r>
  </si>
  <si>
    <r>
      <rPr>
        <sz val="10"/>
        <rFont val="Arial"/>
        <family val="0"/>
        <charset val="1"/>
      </rPr>
      <t xml:space="preserve">WP: </t>
    </r>
    <r>
      <rPr>
        <sz val="10"/>
        <rFont val="Noto Sans CJK SC"/>
        <family val="2"/>
      </rPr>
      <t xml:space="preserve">新页</t>
    </r>
  </si>
  <si>
    <t xml:space="preserve">C04</t>
  </si>
  <si>
    <r>
      <rPr>
        <sz val="10"/>
        <rFont val="Noto Sans CJK SC"/>
        <family val="2"/>
      </rPr>
      <t xml:space="preserve">新建 </t>
    </r>
    <r>
      <rPr>
        <sz val="10"/>
        <rFont val="Arial"/>
        <family val="0"/>
        <charset val="1"/>
      </rPr>
      <t xml:space="preserve">/shop-reinstatement-singapore/</t>
    </r>
  </si>
  <si>
    <r>
      <rPr>
        <sz val="10"/>
        <rFont val="Arial"/>
        <family val="0"/>
        <charset val="1"/>
      </rPr>
      <t xml:space="preserve">8/10 </t>
    </r>
    <r>
      <rPr>
        <sz val="10"/>
        <rFont val="Noto Sans CJK SC"/>
        <family val="2"/>
      </rPr>
      <t xml:space="preserve">高信心：</t>
    </r>
    <r>
      <rPr>
        <sz val="10"/>
        <rFont val="Arial"/>
        <family val="0"/>
        <charset val="1"/>
      </rPr>
      <t xml:space="preserve">host crowding —— zorointerior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个位 </t>
    </r>
    <r>
      <rPr>
        <sz val="10"/>
        <rFont val="Arial"/>
        <family val="0"/>
        <charset val="1"/>
      </rPr>
      <t xml:space="preserve">+ singaporehackers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个位 </t>
    </r>
    <r>
      <rPr>
        <sz val="10"/>
        <rFont val="Arial"/>
        <family val="0"/>
        <charset val="1"/>
      </rPr>
      <t xml:space="preserve">= 10 </t>
    </r>
    <r>
      <rPr>
        <sz val="10"/>
        <rFont val="Noto Sans CJK SC"/>
        <family val="2"/>
      </rPr>
      <t xml:space="preserve">个位里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个属于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个域名。你已有 </t>
    </r>
    <r>
      <rPr>
        <sz val="10"/>
        <rFont val="Arial"/>
        <family val="0"/>
        <charset val="1"/>
      </rPr>
      <t xml:space="preserve">19 </t>
    </r>
    <r>
      <rPr>
        <sz val="10"/>
        <rFont val="Noto Sans CJK SC"/>
        <family val="2"/>
      </rPr>
      <t xml:space="preserve">展示在位置 </t>
    </r>
    <r>
      <rPr>
        <sz val="10"/>
        <rFont val="Arial"/>
        <family val="0"/>
        <charset val="1"/>
      </rPr>
      <t xml:space="preserve">51 </t>
    </r>
    <r>
      <rPr>
        <sz val="10"/>
        <rFont val="Noto Sans CJK SC"/>
        <family val="2"/>
      </rPr>
      <t xml:space="preserve">但无专门页。</t>
    </r>
  </si>
  <si>
    <t xml:space="preserve">C05</t>
  </si>
  <si>
    <t xml:space="preserve">W4-W8</t>
  </si>
  <si>
    <r>
      <rPr>
        <sz val="10"/>
        <rFont val="Noto Sans CJK SC"/>
        <family val="2"/>
      </rPr>
      <t xml:space="preserve">建筑落地页 </t>
    </r>
    <r>
      <rPr>
        <sz val="10"/>
        <rFont val="Arial"/>
        <family val="0"/>
        <charset val="1"/>
      </rPr>
      <t xml:space="preserve">#1 Paya Lebar Quarter</t>
    </r>
  </si>
  <si>
    <r>
      <rPr>
        <sz val="10"/>
        <rFont val="Arial"/>
        <family val="0"/>
        <charset val="1"/>
      </rPr>
      <t xml:space="preserve">6/10 </t>
    </r>
    <r>
      <rPr>
        <sz val="10"/>
        <rFont val="Noto Sans CJK SC"/>
        <family val="2"/>
      </rPr>
      <t xml:space="preserve">结果带 </t>
    </r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Missing: Paya Lebar Quarter</t>
    </r>
    <r>
      <rPr>
        <sz val="10"/>
        <rFont val="Noto Sans CJK SC"/>
        <family val="2"/>
      </rPr>
      <t xml:space="preserve">」标注，只有 </t>
    </r>
    <r>
      <rPr>
        <sz val="10"/>
        <rFont val="Arial"/>
        <family val="0"/>
        <charset val="1"/>
      </rPr>
      <t xml:space="preserve">om-decor.com </t>
    </r>
    <r>
      <rPr>
        <sz val="10"/>
        <rFont val="Noto Sans CJK SC"/>
        <family val="2"/>
      </rPr>
      <t xml:space="preserve">有真实覆盖。近乎真空。</t>
    </r>
  </si>
  <si>
    <t xml:space="preserve">C06</t>
  </si>
  <si>
    <r>
      <rPr>
        <sz val="10"/>
        <rFont val="Noto Sans CJK SC"/>
        <family val="2"/>
      </rPr>
      <t xml:space="preserve">建筑落地页 </t>
    </r>
    <r>
      <rPr>
        <sz val="10"/>
        <rFont val="Arial"/>
        <family val="0"/>
        <charset val="1"/>
      </rPr>
      <t xml:space="preserve">#2 Ubi / MacPherson </t>
    </r>
    <r>
      <rPr>
        <sz val="10"/>
        <rFont val="Noto Sans CJK SC"/>
        <family val="2"/>
      </rPr>
      <t xml:space="preserve">工业楼</t>
    </r>
  </si>
  <si>
    <r>
      <rPr>
        <sz val="10"/>
        <rFont val="Arial"/>
        <family val="0"/>
        <charset val="1"/>
      </rPr>
      <t xml:space="preserve">6/10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Missing: Ubi MacPherson</t>
    </r>
    <r>
      <rPr>
        <sz val="10"/>
        <rFont val="Noto Sans CJK SC"/>
        <family val="2"/>
      </rPr>
      <t xml:space="preserve">」；房产门户在漏进来。</t>
    </r>
    <r>
      <rPr>
        <sz val="10"/>
        <rFont val="Arial"/>
        <family val="0"/>
        <charset val="1"/>
      </rPr>
      <t xml:space="preserve">office-empire </t>
    </r>
    <r>
      <rPr>
        <sz val="10"/>
        <rFont val="Noto Sans CJK SC"/>
        <family val="2"/>
      </rPr>
      <t xml:space="preserve">只在正文提地名就拿到部分排名。</t>
    </r>
  </si>
  <si>
    <t xml:space="preserve">C07</t>
  </si>
  <si>
    <r>
      <rPr>
        <sz val="10"/>
        <rFont val="Noto Sans CJK SC"/>
        <family val="2"/>
      </rPr>
      <t xml:space="preserve">建筑落地页 </t>
    </r>
    <r>
      <rPr>
        <sz val="10"/>
        <rFont val="Arial"/>
        <family val="0"/>
        <charset val="1"/>
      </rPr>
      <t xml:space="preserve">#3 Changi Business Park</t>
    </r>
  </si>
  <si>
    <r>
      <rPr>
        <sz val="10"/>
        <rFont val="Arial"/>
        <family val="0"/>
        <charset val="1"/>
      </rPr>
      <t xml:space="preserve">fixmove.sg/renovation-in-changi-business-park </t>
    </r>
    <r>
      <rPr>
        <sz val="10"/>
        <rFont val="Noto Sans CJK SC"/>
        <family val="2"/>
      </rPr>
      <t xml:space="preserve">在排但被标「</t>
    </r>
    <r>
      <rPr>
        <sz val="10"/>
        <rFont val="Arial"/>
        <family val="0"/>
        <charset val="1"/>
      </rPr>
      <t xml:space="preserve">Missing: reinstatement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精准空缺。</t>
    </r>
  </si>
  <si>
    <t xml:space="preserve">C08</t>
  </si>
  <si>
    <r>
      <rPr>
        <sz val="10"/>
        <rFont val="Noto Sans CJK SC"/>
        <family val="2"/>
      </rPr>
      <t xml:space="preserve">建筑落地页 </t>
    </r>
    <r>
      <rPr>
        <sz val="10"/>
        <rFont val="Arial"/>
        <family val="0"/>
        <charset val="1"/>
      </rPr>
      <t xml:space="preserve">#4 Suntec City</t>
    </r>
  </si>
  <si>
    <r>
      <rPr>
        <sz val="10"/>
        <rFont val="Arial"/>
        <family val="0"/>
        <charset val="1"/>
      </rPr>
      <t xml:space="preserve">om-decor.com/sunteccitytower </t>
    </r>
    <r>
      <rPr>
        <sz val="10"/>
        <rFont val="Noto Sans CJK SC"/>
        <family val="2"/>
      </rPr>
      <t xml:space="preserve">排第 </t>
    </r>
    <r>
      <rPr>
        <sz val="10"/>
        <rFont val="Arial"/>
        <family val="0"/>
        <charset val="1"/>
      </rPr>
      <t xml:space="preserve">1 —— </t>
    </r>
    <r>
      <rPr>
        <sz val="10"/>
        <rFont val="Noto Sans CJK SC"/>
        <family val="2"/>
      </rPr>
      <t xml:space="preserve">模板已证明有效，做更好的。</t>
    </r>
  </si>
  <si>
    <t xml:space="preserve">C09</t>
  </si>
  <si>
    <r>
      <rPr>
        <sz val="10"/>
        <rFont val="Noto Sans CJK SC"/>
        <family val="2"/>
      </rPr>
      <t xml:space="preserve">建筑落地页 </t>
    </r>
    <r>
      <rPr>
        <sz val="10"/>
        <rFont val="Arial"/>
        <family val="0"/>
        <charset val="1"/>
      </rPr>
      <t xml:space="preserve">#5 Tai Seng Exchange / Alexandra Technopark</t>
    </r>
  </si>
  <si>
    <r>
      <rPr>
        <sz val="10"/>
        <rFont val="Arial"/>
        <family val="0"/>
        <charset val="1"/>
      </rPr>
      <t xml:space="preserve">Conexus </t>
    </r>
    <r>
      <rPr>
        <sz val="10"/>
        <rFont val="Noto Sans CJK SC"/>
        <family val="2"/>
      </rPr>
      <t xml:space="preserve">案例提到 </t>
    </r>
    <r>
      <rPr>
        <sz val="10"/>
        <rFont val="Arial"/>
        <family val="0"/>
        <charset val="1"/>
      </rPr>
      <t xml:space="preserve">Tai Seng Exchange 9,107 sqft </t>
    </r>
    <r>
      <rPr>
        <sz val="10"/>
        <rFont val="Noto Sans CJK SC"/>
        <family val="2"/>
      </rPr>
      <t xml:space="preserve">但无专门页。</t>
    </r>
  </si>
  <si>
    <t xml:space="preserve">C10</t>
  </si>
  <si>
    <t xml:space="preserve">W2-W12</t>
  </si>
  <si>
    <r>
      <rPr>
        <sz val="10"/>
        <rFont val="Noto Sans CJK SC"/>
        <family val="2"/>
      </rPr>
      <t xml:space="preserve">强化 </t>
    </r>
    <r>
      <rPr>
        <sz val="10"/>
        <rFont val="Arial"/>
        <family val="0"/>
        <charset val="1"/>
      </rPr>
      <t xml:space="preserve">/office-reinstatement-cost-guide-singapore/</t>
    </r>
    <r>
      <rPr>
        <sz val="10"/>
        <rFont val="Noto Sans CJK SC"/>
        <family val="2"/>
      </rPr>
      <t xml:space="preserve">（打码报价单</t>
    </r>
    <r>
      <rPr>
        <sz val="10"/>
        <rFont val="Arial"/>
        <family val="0"/>
        <charset val="1"/>
      </rPr>
      <t xml:space="preserve">/3 </t>
    </r>
    <r>
      <rPr>
        <sz val="10"/>
        <rFont val="Noto Sans CJK SC"/>
        <family val="2"/>
      </rPr>
      <t xml:space="preserve">个完整案例总价</t>
    </r>
    <r>
      <rPr>
        <sz val="10"/>
        <rFont val="Arial"/>
        <family val="0"/>
        <charset val="1"/>
      </rPr>
      <t xml:space="preserve">/psf </t>
    </r>
    <r>
      <rPr>
        <sz val="10"/>
        <rFont val="Noto Sans CJK SC"/>
        <family val="2"/>
      </rPr>
      <t xml:space="preserve">计算器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对比表</t>
    </r>
    <r>
      <rPr>
        <sz val="10"/>
        <rFont val="Arial"/>
        <family val="0"/>
        <charset val="1"/>
      </rPr>
      <t xml:space="preserve">/FAQPage schema/5 </t>
    </r>
    <r>
      <rPr>
        <sz val="10"/>
        <rFont val="Noto Sans CJK SC"/>
        <family val="2"/>
      </rPr>
      <t xml:space="preserve">篇博文内链指入）</t>
    </r>
  </si>
  <si>
    <r>
      <rPr>
        <sz val="10"/>
        <rFont val="Noto Sans CJK SC"/>
        <family val="2"/>
      </rPr>
      <t xml:space="preserve">全站最接近突破的商业页：</t>
    </r>
    <r>
      <rPr>
        <sz val="10"/>
        <rFont val="Arial"/>
        <family val="0"/>
        <charset val="1"/>
      </rPr>
      <t xml:space="preserve">2,100 </t>
    </r>
    <r>
      <rPr>
        <sz val="10"/>
        <rFont val="Noto Sans CJK SC"/>
        <family val="2"/>
      </rPr>
      <t xml:space="preserve">字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详细分项报价，</t>
    </r>
    <r>
      <rPr>
        <sz val="10"/>
        <rFont val="Arial"/>
        <family val="0"/>
        <charset val="1"/>
      </rPr>
      <t xml:space="preserve">133 </t>
    </r>
    <r>
      <rPr>
        <sz val="10"/>
        <rFont val="Noto Sans CJK SC"/>
        <family val="2"/>
      </rPr>
      <t xml:space="preserve">展示，位置 </t>
    </r>
    <r>
      <rPr>
        <sz val="10"/>
        <rFont val="Arial"/>
        <family val="0"/>
        <charset val="1"/>
      </rPr>
      <t xml:space="preserve">21.56</t>
    </r>
    <r>
      <rPr>
        <sz val="10"/>
        <rFont val="Noto Sans CJK SC"/>
        <family val="2"/>
      </rPr>
      <t xml:space="preserve">。该词无本地包无 </t>
    </r>
    <r>
      <rPr>
        <sz val="10"/>
        <rFont val="Arial"/>
        <family val="0"/>
        <charset val="1"/>
      </rPr>
      <t xml:space="preserve">AIO</t>
    </r>
    <r>
      <rPr>
        <sz val="10"/>
        <rFont val="Noto Sans CJK SC"/>
        <family val="2"/>
      </rPr>
      <t xml:space="preserve">。目标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个月进前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</si>
  <si>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WP: 1 </t>
    </r>
    <r>
      <rPr>
        <sz val="10"/>
        <rFont val="Noto Sans CJK SC"/>
        <family val="2"/>
      </rPr>
      <t xml:space="preserve">页</t>
    </r>
  </si>
  <si>
    <t xml:space="preserve">C11</t>
  </si>
  <si>
    <r>
      <rPr>
        <sz val="10"/>
        <rFont val="Noto Sans CJK SC"/>
        <family val="2"/>
      </rPr>
      <t xml:space="preserve">扩写 </t>
    </r>
    <r>
      <rPr>
        <sz val="10"/>
        <rFont val="Arial"/>
        <family val="0"/>
        <charset val="1"/>
      </rPr>
      <t xml:space="preserve">/bare-unit-vs-fitted-unit-.../ 928→1,800 </t>
    </r>
    <r>
      <rPr>
        <sz val="10"/>
        <rFont val="Noto Sans CJK SC"/>
        <family val="2"/>
      </rPr>
      <t xml:space="preserve">字（决策矩阵</t>
    </r>
    <r>
      <rPr>
        <sz val="10"/>
        <rFont val="Arial"/>
        <family val="0"/>
        <charset val="1"/>
      </rPr>
      <t xml:space="preserve">/psf </t>
    </r>
    <r>
      <rPr>
        <sz val="10"/>
        <rFont val="Noto Sans CJK SC"/>
        <family val="2"/>
      </rPr>
      <t xml:space="preserve">对比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租约条款影响）</t>
    </r>
  </si>
  <si>
    <r>
      <rPr>
        <sz val="10"/>
        <rFont val="Noto Sans CJK SC"/>
        <family val="2"/>
      </rPr>
      <t xml:space="preserve">最容易拿的商业前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：该词第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名被标「</t>
    </r>
    <r>
      <rPr>
        <sz val="10"/>
        <rFont val="Arial"/>
        <family val="0"/>
        <charset val="1"/>
      </rPr>
      <t xml:space="preserve">Missing: shell</t>
    </r>
    <r>
      <rPr>
        <sz val="10"/>
        <rFont val="Noto Sans CJK SC"/>
        <family val="2"/>
      </rPr>
      <t xml:space="preserve">」，一个菲律宾站在排，一个页面是 </t>
    </r>
    <r>
      <rPr>
        <sz val="10"/>
        <rFont val="Arial"/>
        <family val="0"/>
        <charset val="1"/>
      </rPr>
      <t xml:space="preserve">2019 </t>
    </r>
    <r>
      <rPr>
        <sz val="10"/>
        <rFont val="Noto Sans CJK SC"/>
        <family val="2"/>
      </rPr>
      <t xml:space="preserve">年的。你已在位置 </t>
    </r>
    <r>
      <rPr>
        <sz val="10"/>
        <rFont val="Arial"/>
        <family val="0"/>
        <charset val="1"/>
      </rPr>
      <t xml:space="preserve">10.50</t>
    </r>
    <r>
      <rPr>
        <sz val="10"/>
        <rFont val="Noto Sans CJK SC"/>
        <family val="2"/>
      </rPr>
      <t xml:space="preserve">。</t>
    </r>
  </si>
  <si>
    <t xml:space="preserve">C12</t>
  </si>
  <si>
    <r>
      <rPr>
        <sz val="10"/>
        <rFont val="Noto Sans CJK SC"/>
        <family val="2"/>
      </rPr>
      <t xml:space="preserve">扩写 </t>
    </r>
    <r>
      <rPr>
        <sz val="10"/>
        <rFont val="Arial"/>
        <family val="0"/>
        <charset val="1"/>
      </rPr>
      <t xml:space="preserve">/the-ultimate-guide-to-mcst-approval.../ </t>
    </r>
    <r>
      <rPr>
        <sz val="10"/>
        <rFont val="Noto Sans CJK SC"/>
        <family val="2"/>
      </rPr>
      <t xml:space="preserve">覆盖 </t>
    </r>
    <r>
      <rPr>
        <sz val="10"/>
        <rFont val="Arial"/>
        <family val="0"/>
        <charset val="1"/>
      </rPr>
      <t xml:space="preserve">commercial strata MCST</t>
    </r>
  </si>
  <si>
    <r>
      <rPr>
        <sz val="10"/>
        <rFont val="Noto Sans CJK SC"/>
        <family val="2"/>
      </rPr>
      <t xml:space="preserve">已在位置 </t>
    </r>
    <r>
      <rPr>
        <sz val="10"/>
        <rFont val="Arial"/>
        <family val="0"/>
        <charset val="1"/>
      </rPr>
      <t xml:space="preserve">6.25 </t>
    </r>
    <r>
      <rPr>
        <sz val="10"/>
        <rFont val="Noto Sans CJK SC"/>
        <family val="2"/>
      </rPr>
      <t xml:space="preserve">但仅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展示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词太窄。</t>
    </r>
    <r>
      <rPr>
        <sz val="10"/>
        <rFont val="Arial"/>
        <family val="0"/>
        <charset val="1"/>
      </rPr>
      <t xml:space="preserve">commercial MCST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SERP </t>
    </r>
    <r>
      <rPr>
        <sz val="10"/>
        <rFont val="Noto Sans CJK SC"/>
        <family val="2"/>
      </rPr>
      <t xml:space="preserve">全漂移到住宅 </t>
    </r>
    <r>
      <rPr>
        <sz val="10"/>
        <rFont val="Arial"/>
        <family val="0"/>
        <charset val="1"/>
      </rPr>
      <t xml:space="preserve">MCST = </t>
    </r>
    <r>
      <rPr>
        <sz val="10"/>
        <rFont val="Noto Sans CJK SC"/>
        <family val="2"/>
      </rPr>
      <t xml:space="preserve">真空。</t>
    </r>
  </si>
  <si>
    <t xml:space="preserve">C13</t>
  </si>
  <si>
    <r>
      <rPr>
        <sz val="10"/>
        <rFont val="Noto Sans CJK SC"/>
        <family val="2"/>
      </rPr>
      <t xml:space="preserve">扩写 </t>
    </r>
    <r>
      <rPr>
        <sz val="10"/>
        <rFont val="Arial"/>
        <family val="0"/>
        <charset val="1"/>
      </rPr>
      <t xml:space="preserve">checklist </t>
    </r>
    <r>
      <rPr>
        <sz val="10"/>
        <rFont val="Noto Sans CJK SC"/>
        <family val="2"/>
      </rPr>
      <t xml:space="preserve">页并合入 </t>
    </r>
    <r>
      <rPr>
        <sz val="10"/>
        <rFont val="Arial"/>
        <family val="0"/>
        <charset val="1"/>
      </rPr>
      <t xml:space="preserve">office handover checklist singapore landlord</t>
    </r>
    <r>
      <rPr>
        <sz val="10"/>
        <rFont val="Noto Sans CJK SC"/>
        <family val="2"/>
      </rPr>
      <t xml:space="preserve">；做成可下载 </t>
    </r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捕获线索</t>
    </r>
  </si>
  <si>
    <r>
      <rPr>
        <sz val="10"/>
        <rFont val="Noto Sans CJK SC"/>
        <family val="2"/>
      </rPr>
      <t xml:space="preserve">该词现在被一家住宅搬家公司 </t>
    </r>
    <r>
      <rPr>
        <sz val="10"/>
        <rFont val="Arial"/>
        <family val="0"/>
        <charset val="1"/>
      </rPr>
      <t xml:space="preserve">tiptop-movers.com </t>
    </r>
    <r>
      <rPr>
        <sz val="10"/>
        <rFont val="Noto Sans CJK SC"/>
        <family val="2"/>
      </rPr>
      <t xml:space="preserve">占着。</t>
    </r>
  </si>
  <si>
    <t xml:space="preserve">5h</t>
  </si>
  <si>
    <t xml:space="preserve">C14</t>
  </si>
  <si>
    <r>
      <rPr>
        <sz val="10"/>
        <rFont val="Noto Sans CJK SC"/>
        <family val="2"/>
      </rPr>
      <t xml:space="preserve">扩写 </t>
    </r>
    <r>
      <rPr>
        <sz val="10"/>
        <rFont val="Arial"/>
        <family val="0"/>
        <charset val="1"/>
      </rPr>
      <t xml:space="preserve">/5-fssd-fire-safety-compliance-mistakes.../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FSSD submission </t>
    </r>
    <r>
      <rPr>
        <sz val="10"/>
        <rFont val="Noto Sans CJK SC"/>
        <family val="2"/>
      </rPr>
      <t xml:space="preserve">权威页</t>
    </r>
  </si>
  <si>
    <r>
      <rPr>
        <sz val="10"/>
        <rFont val="Noto Sans CJK SC"/>
        <family val="2"/>
      </rPr>
      <t xml:space="preserve">该词现在第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名是一条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帖子；其余是消防顾问公司，无 </t>
    </r>
    <r>
      <rPr>
        <sz val="10"/>
        <rFont val="Arial"/>
        <family val="0"/>
        <charset val="1"/>
      </rPr>
      <t xml:space="preserve">reinstatement </t>
    </r>
    <r>
      <rPr>
        <sz val="10"/>
        <rFont val="Noto Sans CJK SC"/>
        <family val="2"/>
      </rPr>
      <t xml:space="preserve">承包商。</t>
    </r>
  </si>
  <si>
    <t xml:space="preserve">C15</t>
  </si>
  <si>
    <r>
      <rPr>
        <sz val="10"/>
        <rFont val="Noto Sans CJK SC"/>
        <family val="2"/>
      </rPr>
      <t xml:space="preserve">主分类 </t>
    </r>
    <r>
      <rPr>
        <sz val="10"/>
        <rFont val="Arial"/>
        <family val="0"/>
        <charset val="1"/>
      </rPr>
      <t xml:space="preserve">Contractor → Building restoration service</t>
    </r>
    <r>
      <rPr>
        <sz val="10"/>
        <rFont val="Noto Sans CJK SC"/>
        <family val="2"/>
      </rPr>
      <t xml:space="preserve">（分批：先加次分类</t>
    </r>
    <r>
      <rPr>
        <sz val="10"/>
        <rFont val="Arial"/>
        <family val="0"/>
        <charset val="1"/>
      </rPr>
      <t xml:space="preserve">+Services </t>
    </r>
    <r>
      <rPr>
        <sz val="10"/>
        <rFont val="Noto Sans CJK SC"/>
        <family val="2"/>
      </rPr>
      <t xml:space="preserve">观察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周再改主分类）</t>
    </r>
  </si>
  <si>
    <r>
      <rPr>
        <sz val="10"/>
        <rFont val="Noto Sans CJK SC"/>
        <family val="2"/>
      </rPr>
      <t xml:space="preserve">三个本地包反复出现的赢家「</t>
    </r>
    <r>
      <rPr>
        <sz val="10"/>
        <rFont val="Arial"/>
        <family val="0"/>
        <charset val="1"/>
      </rPr>
      <t xml:space="preserve">Office Reinstatement</t>
    </r>
    <r>
      <rPr>
        <sz val="10"/>
        <rFont val="Noto Sans CJK SC"/>
        <family val="2"/>
      </rPr>
      <t xml:space="preserve">」用的就是这个分类。改分类有 </t>
    </r>
    <r>
      <rPr>
        <sz val="10"/>
        <rFont val="Arial"/>
        <family val="0"/>
        <charset val="1"/>
      </rPr>
      <t xml:space="preserve">1-2 </t>
    </r>
    <r>
      <rPr>
        <sz val="10"/>
        <rFont val="Noto Sans CJK SC"/>
        <family val="2"/>
      </rPr>
      <t xml:space="preserve">周波动期。</t>
    </r>
  </si>
  <si>
    <t xml:space="preserve">C16</t>
  </si>
  <si>
    <t xml:space="preserve">持续</t>
  </si>
  <si>
    <r>
      <rPr>
        <sz val="10"/>
        <rFont val="Noto Sans CJK SC"/>
        <family val="2"/>
      </rPr>
      <t xml:space="preserve">每周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条 </t>
    </r>
    <r>
      <rPr>
        <sz val="10"/>
        <rFont val="Arial"/>
        <family val="0"/>
        <charset val="1"/>
      </rPr>
      <t xml:space="preserve">Posts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条项目照片标题带建筑名 </t>
    </r>
    <r>
      <rPr>
        <sz val="10"/>
        <rFont val="Arial"/>
        <family val="0"/>
        <charset val="1"/>
      </rPr>
      <t xml:space="preserve">+ 1 </t>
    </r>
    <r>
      <rPr>
        <sz val="10"/>
        <rFont val="Noto Sans CJK SC"/>
        <family val="2"/>
      </rPr>
      <t xml:space="preserve">条 </t>
    </r>
    <r>
      <rPr>
        <sz val="10"/>
        <rFont val="Arial"/>
        <family val="0"/>
        <charset val="1"/>
      </rPr>
      <t xml:space="preserve">offer/FAQ</t>
    </r>
    <r>
      <rPr>
        <sz val="10"/>
        <rFont val="Noto Sans CJK SC"/>
        <family val="2"/>
      </rPr>
      <t xml:space="preserve">）；每周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张施工照</t>
    </r>
  </si>
  <si>
    <r>
      <rPr>
        <sz val="10"/>
        <rFont val="Noto Sans CJK SC"/>
        <family val="2"/>
      </rPr>
      <t xml:space="preserve">实测最近 </t>
    </r>
    <r>
      <rPr>
        <sz val="10"/>
        <rFont val="Arial"/>
        <family val="0"/>
        <charset val="1"/>
      </rPr>
      <t xml:space="preserve">Post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6/10 </t>
    </r>
    <r>
      <rPr>
        <sz val="10"/>
        <rFont val="Noto Sans CJK SC"/>
        <family val="2"/>
      </rPr>
      <t xml:space="preserve">和 </t>
    </r>
    <r>
      <rPr>
        <sz val="10"/>
        <rFont val="Arial"/>
        <family val="0"/>
        <charset val="1"/>
      </rPr>
      <t xml:space="preserve">4/30 —— </t>
    </r>
    <r>
      <rPr>
        <sz val="10"/>
        <rFont val="Noto Sans CJK SC"/>
        <family val="2"/>
      </rPr>
      <t xml:space="preserve">断了；最近照片 </t>
    </r>
    <r>
      <rPr>
        <sz val="10"/>
        <rFont val="Arial"/>
        <family val="0"/>
        <charset val="1"/>
      </rPr>
      <t xml:space="preserve">27 </t>
    </r>
    <r>
      <rPr>
        <sz val="10"/>
        <rFont val="Noto Sans CJK SC"/>
        <family val="2"/>
      </rPr>
      <t xml:space="preserve">天前。</t>
    </r>
  </si>
  <si>
    <r>
      <rPr>
        <sz val="10"/>
        <rFont val="Arial"/>
        <family val="0"/>
        <charset val="1"/>
      </rPr>
      <t xml:space="preserve">1h/</t>
    </r>
    <r>
      <rPr>
        <sz val="10"/>
        <rFont val="Noto Sans CJK SC"/>
        <family val="2"/>
      </rPr>
      <t xml:space="preserve">周</t>
    </r>
  </si>
  <si>
    <t xml:space="preserve">C17</t>
  </si>
  <si>
    <r>
      <rPr>
        <sz val="10"/>
        <rFont val="Noto Sans CJK SC"/>
        <family val="2"/>
      </rPr>
      <t xml:space="preserve">回复所有未回复评论，回复里自然带服务词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地点；</t>
    </r>
    <r>
      <rPr>
        <sz val="10"/>
        <rFont val="Arial"/>
        <family val="0"/>
        <charset val="1"/>
      </rPr>
      <t xml:space="preserve">Q&amp;A </t>
    </r>
    <r>
      <rPr>
        <sz val="10"/>
        <rFont val="Noto Sans CJK SC"/>
        <family val="2"/>
      </rPr>
      <t xml:space="preserve">自问自答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条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</si>
  <si>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从评论抽取的关键词是 </t>
    </r>
    <r>
      <rPr>
        <sz val="10"/>
        <rFont val="Arial"/>
        <family val="0"/>
        <charset val="1"/>
      </rPr>
      <t xml:space="preserve">renovation×35 / carpentry×10 / prompt replies×10 —— </t>
    </r>
    <r>
      <rPr>
        <sz val="10"/>
        <rFont val="Noto Sans CJK SC"/>
        <family val="2"/>
      </rPr>
      <t xml:space="preserve">需要 </t>
    </r>
    <r>
      <rPr>
        <sz val="10"/>
        <rFont val="Arial"/>
        <family val="0"/>
        <charset val="1"/>
      </rPr>
      <t xml:space="preserve">reinstatement </t>
    </r>
    <r>
      <rPr>
        <sz val="10"/>
        <rFont val="Noto Sans CJK SC"/>
        <family val="2"/>
      </rPr>
      <t xml:space="preserve">也出现。</t>
    </r>
  </si>
  <si>
    <t xml:space="preserve">C18</t>
  </si>
  <si>
    <t xml:space="preserve">AEO</t>
  </si>
  <si>
    <r>
      <rPr>
        <sz val="10"/>
        <rFont val="Noto Sans CJK SC"/>
        <family val="2"/>
      </rPr>
      <t xml:space="preserve">每页开头 </t>
    </r>
    <r>
      <rPr>
        <sz val="10"/>
        <rFont val="Arial"/>
        <family val="0"/>
        <charset val="1"/>
      </rPr>
      <t xml:space="preserve">40-60 </t>
    </r>
    <r>
      <rPr>
        <sz val="10"/>
        <rFont val="Noto Sans CJK SC"/>
        <family val="2"/>
      </rPr>
      <t xml:space="preserve">字直接定义句；数字表格化；</t>
    </r>
    <r>
      <rPr>
        <sz val="10"/>
        <rFont val="Arial"/>
        <family val="0"/>
        <charset val="1"/>
      </rPr>
      <t xml:space="preserve">Q&amp;A + FAQPage schema</t>
    </r>
    <r>
      <rPr>
        <sz val="10"/>
        <rFont val="Noto Sans CJK SC"/>
        <family val="2"/>
      </rPr>
      <t xml:space="preserve">；根目录放 </t>
    </r>
    <r>
      <rPr>
        <sz val="10"/>
        <rFont val="Arial"/>
        <family val="0"/>
        <charset val="1"/>
      </rPr>
      <t xml:space="preserve">llms.txt</t>
    </r>
  </si>
  <si>
    <r>
      <rPr>
        <sz val="10"/>
        <rFont val="Noto Sans CJK SC"/>
        <family val="2"/>
      </rPr>
      <t xml:space="preserve">实测 </t>
    </r>
    <r>
      <rPr>
        <sz val="10"/>
        <rFont val="Arial"/>
        <family val="0"/>
        <charset val="1"/>
      </rPr>
      <t xml:space="preserve">retail fit out singapore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AIO </t>
    </r>
    <r>
      <rPr>
        <sz val="10"/>
        <rFont val="Noto Sans CJK SC"/>
        <family val="2"/>
      </rPr>
      <t xml:space="preserve">引用了 </t>
    </r>
    <r>
      <rPr>
        <sz val="10"/>
        <rFont val="Arial"/>
        <family val="0"/>
        <charset val="1"/>
      </rPr>
      <t xml:space="preserve">fixmove.sg </t>
    </r>
    <r>
      <rPr>
        <sz val="10"/>
        <rFont val="Noto Sans CJK SC"/>
        <family val="2"/>
      </rPr>
      <t xml:space="preserve">但它不在自然前 </t>
    </r>
    <r>
      <rPr>
        <sz val="10"/>
        <rFont val="Arial"/>
        <family val="0"/>
        <charset val="1"/>
      </rPr>
      <t xml:space="preserve">10 —— AIO </t>
    </r>
    <r>
      <rPr>
        <sz val="10"/>
        <rFont val="Noto Sans CJK SC"/>
        <family val="2"/>
      </rPr>
      <t xml:space="preserve">引用与自然排名脱钩。</t>
    </r>
    <r>
      <rPr>
        <sz val="10"/>
        <rFont val="Arial"/>
        <family val="0"/>
        <charset val="1"/>
      </rPr>
      <t xml:space="preserve">robots.txt </t>
    </r>
    <r>
      <rPr>
        <sz val="10"/>
        <rFont val="Noto Sans CJK SC"/>
        <family val="2"/>
      </rPr>
      <t xml:space="preserve">已全部允许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爬虫，保持。</t>
    </r>
  </si>
  <si>
    <r>
      <rPr>
        <sz val="10"/>
        <rFont val="Arial"/>
        <family val="0"/>
        <charset val="1"/>
      </rPr>
      <t xml:space="preserve">WP: </t>
    </r>
    <r>
      <rPr>
        <sz val="10"/>
        <rFont val="Noto Sans CJK SC"/>
        <family val="2"/>
      </rPr>
      <t xml:space="preserve">写作规范</t>
    </r>
  </si>
  <si>
    <t xml:space="preserve">D01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</si>
  <si>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周</t>
    </r>
  </si>
  <si>
    <r>
      <rPr>
        <sz val="10"/>
        <rFont val="Noto Sans CJK SC"/>
        <family val="2"/>
      </rPr>
      <t xml:space="preserve">住宅真空长尾（优先 </t>
    </r>
    <r>
      <rPr>
        <sz val="10"/>
        <rFont val="Arial"/>
        <family val="0"/>
        <charset val="1"/>
      </rPr>
      <t xml:space="preserve">HDB reinstatement cost before selling flat singapore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</si>
  <si>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该词与你商业 </t>
    </r>
    <r>
      <rPr>
        <sz val="10"/>
        <rFont val="Arial"/>
        <family val="0"/>
        <charset val="1"/>
      </rPr>
      <t xml:space="preserve">reinstatement </t>
    </r>
    <r>
      <rPr>
        <sz val="10"/>
        <rFont val="Noto Sans CJK SC"/>
        <family val="2"/>
      </rPr>
      <t xml:space="preserve">专长天然衔接，可复用已有内容权威。避开 </t>
    </r>
    <r>
      <rPr>
        <sz val="10"/>
        <rFont val="Arial"/>
        <family val="0"/>
        <charset val="1"/>
      </rPr>
      <t xml:space="preserve">HDB renovation permit / hacking rules / condo MCST approval / noise hours </t>
    </r>
    <r>
      <rPr>
        <sz val="10"/>
        <rFont val="Noto Sans CJK SC"/>
        <family val="2"/>
      </rPr>
      <t xml:space="preserve">这四个最卷的词。</t>
    </r>
  </si>
  <si>
    <r>
      <rPr>
        <sz val="10"/>
        <rFont val="Arial"/>
        <family val="0"/>
        <charset val="1"/>
      </rPr>
      <t xml:space="preserve">5h/</t>
    </r>
    <r>
      <rPr>
        <sz val="10"/>
        <rFont val="Noto Sans CJK SC"/>
        <family val="2"/>
      </rPr>
      <t xml:space="preserve">篇</t>
    </r>
  </si>
  <si>
    <t xml:space="preserve">D02</t>
  </si>
  <si>
    <t xml:space="preserve">P3</t>
  </si>
  <si>
    <t xml:space="preserve">节奏</t>
  </si>
  <si>
    <r>
      <rPr>
        <sz val="10"/>
        <rFont val="Noto Sans CJK SC"/>
        <family val="2"/>
      </rPr>
      <t xml:space="preserve">停止日更，改每周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篇深度页（</t>
    </r>
    <r>
      <rPr>
        <sz val="10"/>
        <rFont val="Arial"/>
        <family val="0"/>
        <charset val="1"/>
      </rPr>
      <t xml:space="preserve">1,500-2,500</t>
    </r>
    <r>
      <rPr>
        <sz val="10"/>
        <rFont val="Noto Sans CJK SC"/>
        <family val="2"/>
      </rPr>
      <t xml:space="preserve">字），节奏 商业</t>
    </r>
    <r>
      <rPr>
        <sz val="10"/>
        <rFont val="Arial"/>
        <family val="0"/>
        <charset val="1"/>
      </rPr>
      <t xml:space="preserve">×3</t>
    </r>
    <r>
      <rPr>
        <sz val="10"/>
        <rFont val="Noto Sans CJK SC"/>
        <family val="2"/>
      </rPr>
      <t xml:space="preserve">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住宅</t>
    </r>
    <r>
      <rPr>
        <sz val="10"/>
        <rFont val="Arial"/>
        <family val="0"/>
        <charset val="1"/>
      </rPr>
      <t xml:space="preserve">×1</t>
    </r>
    <r>
      <rPr>
        <sz val="10"/>
        <rFont val="Noto Sans CJK SC"/>
        <family val="2"/>
      </rPr>
      <t xml:space="preserve">周</t>
    </r>
  </si>
  <si>
    <r>
      <rPr>
        <sz val="10"/>
        <rFont val="Arial"/>
        <family val="0"/>
        <charset val="1"/>
      </rPr>
      <t xml:space="preserve">42 </t>
    </r>
    <r>
      <rPr>
        <sz val="10"/>
        <rFont val="Noto Sans CJK SC"/>
        <family val="2"/>
      </rPr>
      <t xml:space="preserve">页「已抓取–尚未编入索引」说明 </t>
    </r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已在质量层面对新内容打折。索引率修到 </t>
    </r>
    <r>
      <rPr>
        <sz val="10"/>
        <rFont val="Arial"/>
        <family val="0"/>
        <charset val="1"/>
      </rPr>
      <t xml:space="preserve">75%+ </t>
    </r>
    <r>
      <rPr>
        <sz val="10"/>
        <rFont val="Noto Sans CJK SC"/>
        <family val="2"/>
      </rPr>
      <t xml:space="preserve">前加大发布量只会加深这个信号。</t>
    </r>
  </si>
  <si>
    <t xml:space="preserve">流程</t>
  </si>
  <si>
    <t xml:space="preserve">-</t>
  </si>
  <si>
    <t xml:space="preserve">进度汇总</t>
  </si>
  <si>
    <t xml:space="preserve">动作总数</t>
  </si>
  <si>
    <r>
      <rPr>
        <b val="true"/>
        <sz val="10"/>
        <rFont val="Arial"/>
        <family val="0"/>
        <charset val="1"/>
      </rPr>
      <t xml:space="preserve">P0 </t>
    </r>
    <r>
      <rPr>
        <b val="true"/>
        <sz val="10"/>
        <rFont val="Noto Sans CJK SC"/>
        <family val="2"/>
      </rPr>
      <t xml:space="preserve">项数</t>
    </r>
  </si>
  <si>
    <r>
      <rPr>
        <b val="true"/>
        <sz val="10"/>
        <rFont val="Arial"/>
        <family val="0"/>
        <charset val="1"/>
      </rPr>
      <t xml:space="preserve">P1 </t>
    </r>
    <r>
      <rPr>
        <b val="true"/>
        <sz val="10"/>
        <rFont val="Noto Sans CJK SC"/>
        <family val="2"/>
      </rPr>
      <t xml:space="preserve">项数</t>
    </r>
  </si>
  <si>
    <r>
      <rPr>
        <b val="true"/>
        <sz val="10"/>
        <rFont val="Arial"/>
        <family val="0"/>
        <charset val="1"/>
      </rPr>
      <t xml:space="preserve">P2/P3 </t>
    </r>
    <r>
      <rPr>
        <b val="true"/>
        <sz val="10"/>
        <rFont val="Noto Sans CJK SC"/>
        <family val="2"/>
      </rPr>
      <t xml:space="preserve">项数</t>
    </r>
  </si>
  <si>
    <t xml:space="preserve">已完成</t>
  </si>
  <si>
    <t xml:space="preserve">完成率</t>
  </si>
  <si>
    <r>
      <rPr>
        <i val="true"/>
        <sz val="9"/>
        <color rgb="FF808080"/>
        <rFont val="Noto Sans CJK SC"/>
        <family val="2"/>
      </rPr>
      <t xml:space="preserve">图例：黄底蓝字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你填的单元格（负责人 </t>
    </r>
    <r>
      <rPr>
        <i val="true"/>
        <sz val="9"/>
        <color rgb="FF808080"/>
        <rFont val="Arial"/>
        <family val="0"/>
        <charset val="1"/>
      </rPr>
      <t xml:space="preserve">/ </t>
    </r>
    <r>
      <rPr>
        <i val="true"/>
        <sz val="9"/>
        <color rgb="FF808080"/>
        <rFont val="Noto Sans CJK SC"/>
        <family val="2"/>
      </rPr>
      <t xml:space="preserve">状态 </t>
    </r>
    <r>
      <rPr>
        <i val="true"/>
        <sz val="9"/>
        <color rgb="FF808080"/>
        <rFont val="Arial"/>
        <family val="0"/>
        <charset val="1"/>
      </rPr>
      <t xml:space="preserve">/ </t>
    </r>
    <r>
      <rPr>
        <i val="true"/>
        <sz val="9"/>
        <color rgb="FF808080"/>
        <rFont val="Noto Sans CJK SC"/>
        <family val="2"/>
      </rPr>
      <t xml:space="preserve">完成日期）。</t>
    </r>
    <r>
      <rPr>
        <i val="true"/>
        <sz val="9"/>
        <color rgb="FF808080"/>
        <rFont val="Arial"/>
        <family val="0"/>
        <charset val="1"/>
      </rPr>
      <t xml:space="preserve">P0=48</t>
    </r>
    <r>
      <rPr>
        <i val="true"/>
        <sz val="9"/>
        <color rgb="FF808080"/>
        <rFont val="Noto Sans CJK SC"/>
        <family val="2"/>
      </rPr>
      <t xml:space="preserve">小时止血，</t>
    </r>
    <r>
      <rPr>
        <i val="true"/>
        <sz val="9"/>
        <color rgb="FF808080"/>
        <rFont val="Arial"/>
        <family val="0"/>
        <charset val="1"/>
      </rPr>
      <t xml:space="preserve">P1=</t>
    </r>
    <r>
      <rPr>
        <i val="true"/>
        <sz val="9"/>
        <color rgb="FF808080"/>
        <rFont val="Noto Sans CJK SC"/>
        <family val="2"/>
      </rPr>
      <t xml:space="preserve">第</t>
    </r>
    <r>
      <rPr>
        <i val="true"/>
        <sz val="9"/>
        <color rgb="FF808080"/>
        <rFont val="Arial"/>
        <family val="0"/>
        <charset val="1"/>
      </rPr>
      <t xml:space="preserve">1-2</t>
    </r>
    <r>
      <rPr>
        <i val="true"/>
        <sz val="9"/>
        <color rgb="FF808080"/>
        <rFont val="Noto Sans CJK SC"/>
        <family val="2"/>
      </rPr>
      <t xml:space="preserve">周技术地基，</t>
    </r>
    <r>
      <rPr>
        <i val="true"/>
        <sz val="9"/>
        <color rgb="FF808080"/>
        <rFont val="Arial"/>
        <family val="0"/>
        <charset val="1"/>
      </rPr>
      <t xml:space="preserve">P2=</t>
    </r>
    <r>
      <rPr>
        <i val="true"/>
        <sz val="9"/>
        <color rgb="FF808080"/>
        <rFont val="Noto Sans CJK SC"/>
        <family val="2"/>
      </rPr>
      <t xml:space="preserve">第</t>
    </r>
    <r>
      <rPr>
        <i val="true"/>
        <sz val="9"/>
        <color rgb="FF808080"/>
        <rFont val="Arial"/>
        <family val="0"/>
        <charset val="1"/>
      </rPr>
      <t xml:space="preserve">2-12</t>
    </r>
    <r>
      <rPr>
        <i val="true"/>
        <sz val="9"/>
        <color rgb="FF808080"/>
        <rFont val="Noto Sans CJK SC"/>
        <family val="2"/>
      </rPr>
      <t xml:space="preserve">周内容，</t>
    </r>
    <r>
      <rPr>
        <i val="true"/>
        <sz val="9"/>
        <color rgb="FF808080"/>
        <rFont val="Arial"/>
        <family val="0"/>
        <charset val="1"/>
      </rPr>
      <t xml:space="preserve">P3=</t>
    </r>
    <r>
      <rPr>
        <i val="true"/>
        <sz val="9"/>
        <color rgb="FF808080"/>
        <rFont val="Noto Sans CJK SC"/>
        <family val="2"/>
      </rPr>
      <t xml:space="preserve">流程。</t>
    </r>
  </si>
  <si>
    <r>
      <rPr>
        <b val="true"/>
        <sz val="10"/>
        <color rgb="FFFFFFFF"/>
        <rFont val="Noto Sans CJK SC"/>
        <family val="2"/>
      </rPr>
      <t xml:space="preserve">簇 </t>
    </r>
    <r>
      <rPr>
        <b val="true"/>
        <sz val="10"/>
        <color rgb="FFFFFFFF"/>
        <rFont val="Arial"/>
        <family val="0"/>
        <charset val="1"/>
      </rPr>
      <t xml:space="preserve">Cluster</t>
    </r>
  </si>
  <si>
    <t xml:space="preserve">关键词</t>
  </si>
  <si>
    <t xml:space="preserve">意图</t>
  </si>
  <si>
    <r>
      <rPr>
        <b val="true"/>
        <sz val="10"/>
        <color rgb="FFFFFFFF"/>
        <rFont val="Noto Sans CJK SC"/>
        <family val="2"/>
      </rPr>
      <t xml:space="preserve">当前展示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周</t>
    </r>
  </si>
  <si>
    <t xml:space="preserve">当前排名</t>
  </si>
  <si>
    <t xml:space="preserve">可赢性</t>
  </si>
  <si>
    <t xml:space="preserve">目标页面</t>
  </si>
  <si>
    <r>
      <rPr>
        <b val="true"/>
        <sz val="10"/>
        <color rgb="FFFFFFFF"/>
        <rFont val="Arial"/>
        <family val="0"/>
        <charset val="1"/>
      </rPr>
      <t xml:space="preserve">SERP </t>
    </r>
    <r>
      <rPr>
        <b val="true"/>
        <sz val="10"/>
        <color rgb="FFFFFFFF"/>
        <rFont val="Noto Sans CJK SC"/>
        <family val="2"/>
      </rPr>
      <t xml:space="preserve">弱点实证</t>
    </r>
  </si>
  <si>
    <r>
      <rPr>
        <sz val="10"/>
        <rFont val="Arial"/>
        <family val="0"/>
        <charset val="1"/>
      </rPr>
      <t xml:space="preserve">Bathroom </t>
    </r>
    <r>
      <rPr>
        <sz val="10"/>
        <rFont val="Noto Sans CJK SC"/>
        <family val="2"/>
      </rPr>
      <t xml:space="preserve">簇</t>
    </r>
  </si>
  <si>
    <t xml:space="preserve">bathroom repair contractor</t>
  </si>
  <si>
    <t xml:space="preserve">商业</t>
  </si>
  <si>
    <t xml:space="preserve">35</t>
  </si>
  <si>
    <t xml:space="preserve">5.94</t>
  </si>
  <si>
    <r>
      <rPr>
        <sz val="10"/>
        <rFont val="Noto Sans CJK SC"/>
        <family val="2"/>
      </rPr>
      <t xml:space="preserve">已在前</t>
    </r>
    <r>
      <rPr>
        <sz val="10"/>
        <rFont val="Arial"/>
        <family val="0"/>
        <charset val="1"/>
      </rPr>
      <t xml:space="preserve">10</t>
    </r>
  </si>
  <si>
    <r>
      <rPr>
        <sz val="10"/>
        <rFont val="Arial"/>
        <family val="0"/>
        <charset val="1"/>
      </rPr>
      <t xml:space="preserve">/bathroom-renovation-singapore/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</si>
  <si>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t xml:space="preserve">新建</t>
  </si>
  <si>
    <r>
      <rPr>
        <sz val="10"/>
        <rFont val="Noto Sans CJK SC"/>
        <family val="2"/>
      </rPr>
      <t xml:space="preserve">已在位置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但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点击 —— 需先用国家过滤器确认是否美国流量</t>
    </r>
  </si>
  <si>
    <t xml:space="preserve">bathroom remodeling contractors</t>
  </si>
  <si>
    <t xml:space="preserve">43</t>
  </si>
  <si>
    <t xml:space="preserve">11.79</t>
  </si>
  <si>
    <t xml:space="preserve">高</t>
  </si>
  <si>
    <r>
      <rPr>
        <sz val="10"/>
        <rFont val="Noto Sans CJK SC"/>
        <family val="2"/>
      </rPr>
      <t xml:space="preserve">距前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仅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位</t>
    </r>
  </si>
  <si>
    <t xml:space="preserve">bathroom remodel contractor</t>
  </si>
  <si>
    <t xml:space="preserve">45</t>
  </si>
  <si>
    <t xml:space="preserve">12.71</t>
  </si>
  <si>
    <r>
      <rPr>
        <sz val="10"/>
        <rFont val="Noto Sans CJK SC"/>
        <family val="2"/>
      </rPr>
      <t xml:space="preserve">距前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仅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位。美式表述，需验证国家</t>
    </r>
  </si>
  <si>
    <t xml:space="preserve">bathroom contractors singapore</t>
  </si>
  <si>
    <t xml:space="preserve">39</t>
  </si>
  <si>
    <t xml:space="preserve">18.85</t>
  </si>
  <si>
    <t xml:space="preserve">确定是新加坡本地流量</t>
  </si>
  <si>
    <t xml:space="preserve">hdb plumbing contractor</t>
  </si>
  <si>
    <t xml:space="preserve">13</t>
  </si>
  <si>
    <t xml:space="preserve">10.69</t>
  </si>
  <si>
    <t xml:space="preserve">/residential/plumbing/</t>
  </si>
  <si>
    <t xml:space="preserve">改写</t>
  </si>
  <si>
    <r>
      <rPr>
        <sz val="10"/>
        <rFont val="Noto Sans CJK SC"/>
        <family val="2"/>
      </rPr>
      <t xml:space="preserve">距前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仅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位</t>
    </r>
  </si>
  <si>
    <t xml:space="preserve">tiling contractor / tiling contractor singapore</t>
  </si>
  <si>
    <t xml:space="preserve">10+23</t>
  </si>
  <si>
    <t xml:space="preserve">16.90/37.91</t>
  </si>
  <si>
    <t xml:space="preserve">中</t>
  </si>
  <si>
    <t xml:space="preserve">/residential/tiling-works/</t>
  </si>
  <si>
    <t xml:space="preserve">强化</t>
  </si>
  <si>
    <r>
      <rPr>
        <sz val="10"/>
        <rFont val="Noto Sans CJK SC"/>
        <family val="2"/>
      </rPr>
      <t xml:space="preserve">已有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行价格表 </t>
    </r>
    <r>
      <rPr>
        <sz val="10"/>
        <rFont val="Arial"/>
        <family val="0"/>
        <charset val="1"/>
      </rPr>
      <t xml:space="preserve">+ 4 </t>
    </r>
    <r>
      <rPr>
        <sz val="10"/>
        <rFont val="Noto Sans CJK SC"/>
        <family val="2"/>
      </rPr>
      <t xml:space="preserve">问 </t>
    </r>
    <r>
      <rPr>
        <sz val="10"/>
        <rFont val="Arial"/>
        <family val="0"/>
        <charset val="1"/>
      </rPr>
      <t xml:space="preserve">FAQ</t>
    </r>
    <r>
      <rPr>
        <sz val="10"/>
        <rFont val="Noto Sans CJK SC"/>
        <family val="2"/>
      </rPr>
      <t xml:space="preserve">，但内链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条</t>
    </r>
  </si>
  <si>
    <r>
      <rPr>
        <b val="true"/>
        <sz val="10"/>
        <rFont val="Arial"/>
        <family val="0"/>
        <charset val="1"/>
      </rPr>
      <t xml:space="preserve">Bathroom </t>
    </r>
    <r>
      <rPr>
        <b val="true"/>
        <sz val="10"/>
        <rFont val="Noto Sans CJK SC"/>
        <family val="2"/>
      </rPr>
      <t xml:space="preserve">簇</t>
    </r>
  </si>
  <si>
    <r>
      <rPr>
        <b val="true"/>
        <sz val="10"/>
        <rFont val="Noto Sans CJK SC"/>
        <family val="2"/>
      </rPr>
      <t xml:space="preserve">【簇合计 约 </t>
    </r>
    <r>
      <rPr>
        <b val="true"/>
        <sz val="10"/>
        <rFont val="Arial"/>
        <family val="0"/>
        <charset val="1"/>
      </rPr>
      <t xml:space="preserve">20 </t>
    </r>
    <r>
      <rPr>
        <b val="true"/>
        <sz val="10"/>
        <rFont val="Noto Sans CJK SC"/>
        <family val="2"/>
      </rPr>
      <t xml:space="preserve">个变体】</t>
    </r>
  </si>
  <si>
    <t xml:space="preserve">~320</t>
  </si>
  <si>
    <t xml:space="preserve">~14</t>
  </si>
  <si>
    <r>
      <rPr>
        <b val="true"/>
        <sz val="10"/>
        <rFont val="Noto Sans CJK SC"/>
        <family val="2"/>
      </rPr>
      <t xml:space="preserve">高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最快见效</t>
    </r>
  </si>
  <si>
    <t xml:space="preserve">—</t>
  </si>
  <si>
    <r>
      <rPr>
        <b val="true"/>
        <sz val="10"/>
        <rFont val="Noto Sans CJK SC"/>
        <family val="2"/>
      </rPr>
      <t xml:space="preserve">全站唯一已在位置 </t>
    </r>
    <r>
      <rPr>
        <b val="true"/>
        <sz val="10"/>
        <rFont val="Arial"/>
        <family val="0"/>
        <charset val="1"/>
      </rPr>
      <t xml:space="preserve">10-19 </t>
    </r>
    <r>
      <rPr>
        <b val="true"/>
        <sz val="10"/>
        <rFont val="Noto Sans CJK SC"/>
        <family val="2"/>
      </rPr>
      <t xml:space="preserve">的簇。</t>
    </r>
    <r>
      <rPr>
        <b val="true"/>
        <sz val="10"/>
        <rFont val="Arial"/>
        <family val="0"/>
        <charset val="1"/>
      </rPr>
      <t xml:space="preserve">/residential/plumbing/ 1,058 </t>
    </r>
    <r>
      <rPr>
        <b val="true"/>
        <sz val="10"/>
        <rFont val="Noto Sans CJK SC"/>
        <family val="2"/>
      </rPr>
      <t xml:space="preserve">展示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全站</t>
    </r>
    <r>
      <rPr>
        <b val="true"/>
        <sz val="10"/>
        <rFont val="Arial"/>
        <family val="0"/>
        <charset val="1"/>
      </rPr>
      <t xml:space="preserve">24%)</t>
    </r>
    <r>
      <rPr>
        <b val="true"/>
        <sz val="10"/>
        <rFont val="Noto Sans CJK SC"/>
        <family val="2"/>
      </rPr>
      <t xml:space="preserve">但仅 </t>
    </r>
    <r>
      <rPr>
        <b val="true"/>
        <sz val="10"/>
        <rFont val="Arial"/>
        <family val="0"/>
        <charset val="1"/>
      </rPr>
      <t xml:space="preserve">450 </t>
    </r>
    <r>
      <rPr>
        <b val="true"/>
        <sz val="10"/>
        <rFont val="Noto Sans CJK SC"/>
        <family val="2"/>
      </rPr>
      <t xml:space="preserve">字</t>
    </r>
  </si>
  <si>
    <r>
      <rPr>
        <sz val="10"/>
        <rFont val="Noto Sans CJK SC"/>
        <family val="2"/>
      </rPr>
      <t xml:space="preserve">商业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可赢</t>
    </r>
  </si>
  <si>
    <t xml:space="preserve">warehouse reinstatement singapore</t>
  </si>
  <si>
    <r>
      <rPr>
        <sz val="10"/>
        <rFont val="Arial"/>
        <family val="0"/>
        <charset val="1"/>
      </rPr>
      <t xml:space="preserve">8/10 </t>
    </r>
    <r>
      <rPr>
        <sz val="10"/>
        <rFont val="Noto Sans CJK SC"/>
        <family val="2"/>
      </rPr>
      <t xml:space="preserve">高信心</t>
    </r>
  </si>
  <si>
    <r>
      <rPr>
        <sz val="10"/>
        <rFont val="Arial"/>
        <family val="0"/>
        <charset val="1"/>
      </rPr>
      <t xml:space="preserve">/warehouse-reinstatement-singapore/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</si>
  <si>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本地包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家全 </t>
    </r>
    <r>
      <rPr>
        <sz val="10"/>
        <rFont val="Arial"/>
        <family val="0"/>
        <charset val="1"/>
      </rPr>
      <t xml:space="preserve">No reviews</t>
    </r>
    <r>
      <rPr>
        <sz val="10"/>
        <rFont val="Noto Sans CJK SC"/>
        <family val="2"/>
      </rPr>
      <t xml:space="preserve">；自然位在排的是金属回收商 </t>
    </r>
    <r>
      <rPr>
        <sz val="10"/>
        <rFont val="Arial"/>
        <family val="0"/>
        <charset val="1"/>
      </rPr>
      <t xml:space="preserve">yihui.sg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racking </t>
    </r>
    <r>
      <rPr>
        <sz val="10"/>
        <rFont val="Noto Sans CJK SC"/>
        <family val="2"/>
      </rPr>
      <t xml:space="preserve">公司 </t>
    </r>
    <r>
      <rPr>
        <sz val="10"/>
        <rFont val="Arial"/>
        <family val="0"/>
        <charset val="1"/>
      </rPr>
      <t xml:space="preserve">yktoh.com</t>
    </r>
    <r>
      <rPr>
        <sz val="10"/>
        <rFont val="Noto Sans CJK SC"/>
        <family val="2"/>
      </rPr>
      <t xml:space="preserve">、咨询公司 </t>
    </r>
    <r>
      <rPr>
        <sz val="10"/>
        <rFont val="Arial"/>
        <family val="0"/>
        <charset val="1"/>
      </rPr>
      <t xml:space="preserve">mizaconsultants.sg —— Google </t>
    </r>
    <r>
      <rPr>
        <sz val="10"/>
        <rFont val="Noto Sans CJK SC"/>
        <family val="2"/>
      </rPr>
      <t xml:space="preserve">在用无关站凑数</t>
    </r>
  </si>
  <si>
    <t xml:space="preserve">shop reinstatement singapore / shop reinstatement contractor singapore</t>
  </si>
  <si>
    <t xml:space="preserve">19</t>
  </si>
  <si>
    <t xml:space="preserve">51.05</t>
  </si>
  <si>
    <r>
      <rPr>
        <sz val="10"/>
        <rFont val="Arial"/>
        <family val="0"/>
        <charset val="1"/>
      </rPr>
      <t xml:space="preserve">/shop-reinstatement-singapore/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</si>
  <si>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Host crowding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zorointerior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位 </t>
    </r>
    <r>
      <rPr>
        <sz val="10"/>
        <rFont val="Arial"/>
        <family val="0"/>
        <charset val="1"/>
      </rPr>
      <t xml:space="preserve">+ singaporehackers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位 </t>
    </r>
    <r>
      <rPr>
        <sz val="10"/>
        <rFont val="Arial"/>
        <family val="0"/>
        <charset val="1"/>
      </rPr>
      <t xml:space="preserve">= 10 </t>
    </r>
    <r>
      <rPr>
        <sz val="10"/>
        <rFont val="Noto Sans CJK SC"/>
        <family val="2"/>
      </rPr>
      <t xml:space="preserve">个位里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个属于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个域名。一个更好的页能一次顶掉多个位</t>
    </r>
  </si>
  <si>
    <t xml:space="preserve">office reinstatement cost singapore</t>
  </si>
  <si>
    <t xml:space="preserve">21.56</t>
  </si>
  <si>
    <r>
      <rPr>
        <sz val="10"/>
        <rFont val="Arial"/>
        <family val="0"/>
        <charset val="1"/>
      </rPr>
      <t xml:space="preserve">6/10 </t>
    </r>
    <r>
      <rPr>
        <sz val="10"/>
        <rFont val="Noto Sans CJK SC"/>
        <family val="2"/>
      </rPr>
      <t xml:space="preserve">现实</t>
    </r>
  </si>
  <si>
    <t xml:space="preserve">/office-reinstatement-cost-guide-singapore/</t>
  </si>
  <si>
    <r>
      <rPr>
        <sz val="10"/>
        <rFont val="Noto Sans CJK SC"/>
        <family val="2"/>
      </rPr>
      <t xml:space="preserve">无本地包无 </t>
    </r>
    <r>
      <rPr>
        <sz val="10"/>
        <rFont val="Arial"/>
        <family val="0"/>
        <charset val="1"/>
      </rPr>
      <t xml:space="preserve">AIO </t>
    </r>
    <r>
      <rPr>
        <sz val="10"/>
        <rFont val="Noto Sans CJK SC"/>
        <family val="2"/>
      </rPr>
      <t xml:space="preserve">抢点击。唯一真权威是 </t>
    </r>
    <r>
      <rPr>
        <sz val="10"/>
        <rFont val="Arial"/>
        <family val="0"/>
        <charset val="1"/>
      </rPr>
      <t xml:space="preserve">Cushman &amp; Wakefield</t>
    </r>
    <r>
      <rPr>
        <sz val="10"/>
        <rFont val="Noto Sans CJK SC"/>
        <family val="2"/>
      </rPr>
      <t xml:space="preserve">，其余全是只给 </t>
    </r>
    <r>
      <rPr>
        <sz val="10"/>
        <rFont val="Arial"/>
        <family val="0"/>
        <charset val="1"/>
      </rPr>
      <t xml:space="preserve">psf </t>
    </r>
    <r>
      <rPr>
        <sz val="10"/>
        <rFont val="Noto Sans CJK SC"/>
        <family val="2"/>
      </rPr>
      <t xml:space="preserve">区间不给分项的薄清单。你已有 </t>
    </r>
    <r>
      <rPr>
        <sz val="10"/>
        <rFont val="Arial"/>
        <family val="0"/>
        <charset val="1"/>
      </rPr>
      <t xml:space="preserve">2,100 </t>
    </r>
    <r>
      <rPr>
        <sz val="10"/>
        <rFont val="Noto Sans CJK SC"/>
        <family val="2"/>
      </rPr>
      <t xml:space="preserve">字含详细分项报价</t>
    </r>
  </si>
  <si>
    <t xml:space="preserve">bare shell vs fitted office singapore</t>
  </si>
  <si>
    <t xml:space="preserve">4</t>
  </si>
  <si>
    <t xml:space="preserve">10.50</t>
  </si>
  <si>
    <r>
      <rPr>
        <sz val="10"/>
        <rFont val="Noto Sans CJK SC"/>
        <family val="2"/>
      </rPr>
      <t xml:space="preserve">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最易拿</t>
    </r>
  </si>
  <si>
    <t xml:space="preserve">/bare-unit-vs-fitted-unit-.../</t>
  </si>
  <si>
    <t xml:space="preserve">扩写</t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</si>
  <si>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名被标「</t>
    </r>
    <r>
      <rPr>
        <sz val="10"/>
        <rFont val="Arial"/>
        <family val="0"/>
        <charset val="1"/>
      </rPr>
      <t xml:space="preserve">Missing: shell</t>
    </r>
    <r>
      <rPr>
        <sz val="10"/>
        <rFont val="Noto Sans CJK SC"/>
        <family val="2"/>
      </rPr>
      <t xml:space="preserve">」；一个菲律宾站 </t>
    </r>
    <r>
      <rPr>
        <sz val="10"/>
        <rFont val="Arial"/>
        <family val="0"/>
        <charset val="1"/>
      </rPr>
      <t xml:space="preserve">santosknightfrank.com </t>
    </r>
    <r>
      <rPr>
        <sz val="10"/>
        <rFont val="Noto Sans CJK SC"/>
        <family val="2"/>
      </rPr>
      <t xml:space="preserve">在排；</t>
    </r>
    <r>
      <rPr>
        <sz val="10"/>
        <rFont val="Arial"/>
        <family val="0"/>
        <charset val="1"/>
      </rPr>
      <t xml:space="preserve">rivervaleplaza.com </t>
    </r>
    <r>
      <rPr>
        <sz val="10"/>
        <rFont val="Noto Sans CJK SC"/>
        <family val="2"/>
      </rPr>
      <t xml:space="preserve">的页面是 </t>
    </r>
    <r>
      <rPr>
        <sz val="10"/>
        <rFont val="Arial"/>
        <family val="0"/>
        <charset val="1"/>
      </rPr>
      <t xml:space="preserve">2019 </t>
    </r>
    <r>
      <rPr>
        <sz val="10"/>
        <rFont val="Noto Sans CJK SC"/>
        <family val="2"/>
      </rPr>
      <t xml:space="preserve">年的</t>
    </r>
  </si>
  <si>
    <r>
      <rPr>
        <sz val="10"/>
        <rFont val="Noto Sans CJK SC"/>
        <family val="2"/>
      </rPr>
      <t xml:space="preserve">商业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建筑页</t>
    </r>
  </si>
  <si>
    <t xml:space="preserve">office reinstatement Paya Lebar Quarter</t>
  </si>
  <si>
    <r>
      <rPr>
        <sz val="10"/>
        <rFont val="Arial"/>
        <family val="0"/>
        <charset val="1"/>
      </rPr>
      <t xml:space="preserve">9/10 </t>
    </r>
    <r>
      <rPr>
        <sz val="10"/>
        <rFont val="Noto Sans CJK SC"/>
        <family val="2"/>
      </rPr>
      <t xml:space="preserve">最高杠杆</t>
    </r>
  </si>
  <si>
    <r>
      <rPr>
        <sz val="10"/>
        <rFont val="Arial"/>
        <family val="0"/>
        <charset val="1"/>
      </rPr>
      <t xml:space="preserve">/office-reinstatement-paya-lebar-quarter/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</si>
  <si>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6/10 </t>
    </r>
    <r>
      <rPr>
        <sz val="10"/>
        <rFont val="Noto Sans CJK SC"/>
        <family val="2"/>
      </rPr>
      <t xml:space="preserve">结果带 </t>
    </r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Missing: Paya Lebar Quarter</t>
    </r>
    <r>
      <rPr>
        <sz val="10"/>
        <rFont val="Noto Sans CJK SC"/>
        <family val="2"/>
      </rPr>
      <t xml:space="preserve">」标注，只有 </t>
    </r>
    <r>
      <rPr>
        <sz val="10"/>
        <rFont val="Arial"/>
        <family val="0"/>
        <charset val="1"/>
      </rPr>
      <t xml:space="preserve">om-decor.com </t>
    </r>
    <r>
      <rPr>
        <sz val="10"/>
        <rFont val="Noto Sans CJK SC"/>
        <family val="2"/>
      </rPr>
      <t xml:space="preserve">有真实覆盖</t>
    </r>
  </si>
  <si>
    <t xml:space="preserve">office reinstatement Ubi MacPherson industrial building</t>
  </si>
  <si>
    <r>
      <rPr>
        <sz val="10"/>
        <rFont val="Arial"/>
        <family val="0"/>
        <charset val="1"/>
      </rPr>
      <t xml:space="preserve">/office-reinstatement-ubi-macpherson/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</si>
  <si>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6/10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Missing: Ubi MacPherson</t>
    </r>
    <r>
      <rPr>
        <sz val="10"/>
        <rFont val="Noto Sans CJK SC"/>
        <family val="2"/>
      </rPr>
      <t xml:space="preserve">」；房产门户 </t>
    </r>
    <r>
      <rPr>
        <sz val="10"/>
        <rFont val="Arial"/>
        <family val="0"/>
        <charset val="1"/>
      </rPr>
      <t xml:space="preserve">commercialguru/spacelookup </t>
    </r>
    <r>
      <rPr>
        <sz val="10"/>
        <rFont val="Noto Sans CJK SC"/>
        <family val="2"/>
      </rPr>
      <t xml:space="preserve">在漏进来</t>
    </r>
  </si>
  <si>
    <t xml:space="preserve">office reinstatement Changi Business Park</t>
  </si>
  <si>
    <r>
      <rPr>
        <sz val="10"/>
        <rFont val="Arial"/>
        <family val="0"/>
        <charset val="1"/>
      </rPr>
      <t xml:space="preserve">/office-reinstatement-changi-business-park/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</si>
  <si>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fixmove.sg/renovation-in-changi-business-park </t>
    </r>
    <r>
      <rPr>
        <sz val="10"/>
        <rFont val="Noto Sans CJK SC"/>
        <family val="2"/>
      </rPr>
      <t xml:space="preserve">在排但被标「</t>
    </r>
    <r>
      <rPr>
        <sz val="10"/>
        <rFont val="Arial"/>
        <family val="0"/>
        <charset val="1"/>
      </rPr>
      <t xml:space="preserve">Missing: reinstatement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精准空缺</t>
    </r>
  </si>
  <si>
    <t xml:space="preserve">office reinstatement Suntec City</t>
  </si>
  <si>
    <r>
      <rPr>
        <sz val="10"/>
        <rFont val="Arial"/>
        <family val="0"/>
        <charset val="1"/>
      </rPr>
      <t xml:space="preserve">/office-reinstatement-suntec-city/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</si>
  <si>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om-decor.com/sunteccitytower </t>
    </r>
    <r>
      <rPr>
        <sz val="10"/>
        <rFont val="Noto Sans CJK SC"/>
        <family val="2"/>
      </rPr>
      <t xml:space="preserve">排第 </t>
    </r>
    <r>
      <rPr>
        <sz val="10"/>
        <rFont val="Arial"/>
        <family val="0"/>
        <charset val="1"/>
      </rPr>
      <t xml:space="preserve">1 —— </t>
    </r>
    <r>
      <rPr>
        <sz val="10"/>
        <rFont val="Noto Sans CJK SC"/>
        <family val="2"/>
      </rPr>
      <t xml:space="preserve">单栋建筑页打败所有通用首页，模板已被证明有效</t>
    </r>
  </si>
  <si>
    <r>
      <rPr>
        <b val="true"/>
        <sz val="10"/>
        <rFont val="Noto Sans CJK SC"/>
        <family val="2"/>
      </rPr>
      <t xml:space="preserve">商业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建筑页</t>
    </r>
  </si>
  <si>
    <r>
      <rPr>
        <b val="true"/>
        <sz val="10"/>
        <rFont val="Noto Sans CJK SC"/>
        <family val="2"/>
      </rPr>
      <t xml:space="preserve">扩展序列（验证后）：</t>
    </r>
    <r>
      <rPr>
        <b val="true"/>
        <sz val="10"/>
        <rFont val="Arial"/>
        <family val="0"/>
        <charset val="1"/>
      </rPr>
      <t xml:space="preserve">Raffles Place / Tanjong Pagar / MBFC / Capital Tower / Tai Seng Exchange / Alexandra Technopark / Sungei Kadut / Toh Guan / Pioneer / Woodlands NorthTech</t>
    </r>
  </si>
  <si>
    <t xml:space="preserve">待验证</t>
  </si>
  <si>
    <r>
      <rPr>
        <b val="true"/>
        <sz val="10"/>
        <rFont val="Noto Sans CJK SC"/>
        <family val="2"/>
      </rPr>
      <t xml:space="preserve">未逐个 </t>
    </r>
    <r>
      <rPr>
        <b val="true"/>
        <sz val="10"/>
        <rFont val="Arial"/>
        <family val="0"/>
        <charset val="1"/>
      </rPr>
      <t xml:space="preserve">SERP </t>
    </r>
    <r>
      <rPr>
        <b val="true"/>
        <sz val="10"/>
        <rFont val="Noto Sans CJK SC"/>
        <family val="2"/>
      </rPr>
      <t xml:space="preserve">验证。⚠ 绝不能是换楼名的模板页 —— 会判 </t>
    </r>
    <r>
      <rPr>
        <b val="true"/>
        <sz val="10"/>
        <rFont val="Arial"/>
        <family val="0"/>
        <charset val="1"/>
      </rPr>
      <t xml:space="preserve">doorway spam</t>
    </r>
    <r>
      <rPr>
        <b val="true"/>
        <sz val="10"/>
        <rFont val="Noto Sans CJK SC"/>
        <family val="2"/>
      </rPr>
      <t xml:space="preserve">。先做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个真的</t>
    </r>
  </si>
  <si>
    <r>
      <rPr>
        <sz val="10"/>
        <rFont val="Noto Sans CJK SC"/>
        <family val="2"/>
      </rPr>
      <t xml:space="preserve">商业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合规长尾</t>
    </r>
  </si>
  <si>
    <t xml:space="preserve">FSSD submission office renovation singapore</t>
  </si>
  <si>
    <t xml:space="preserve">信息</t>
  </si>
  <si>
    <t xml:space="preserve">16</t>
  </si>
  <si>
    <t xml:space="preserve">7/10</t>
  </si>
  <si>
    <t xml:space="preserve">/5-fssd-fire-safety-compliance-mistakes.../</t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</si>
  <si>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名是一条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帖子。</t>
    </r>
    <r>
      <rPr>
        <sz val="10"/>
        <rFont val="Arial"/>
        <family val="0"/>
        <charset val="1"/>
      </rPr>
      <t xml:space="preserve">SCDF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位，其余是消防顾问公司，无 </t>
    </r>
    <r>
      <rPr>
        <sz val="10"/>
        <rFont val="Arial"/>
        <family val="0"/>
        <charset val="1"/>
      </rPr>
      <t xml:space="preserve">reinstatement </t>
    </r>
    <r>
      <rPr>
        <sz val="10"/>
        <rFont val="Noto Sans CJK SC"/>
        <family val="2"/>
      </rPr>
      <t xml:space="preserve">承包商</t>
    </r>
  </si>
  <si>
    <t xml:space="preserve">dilapidation report singapore office lease</t>
  </si>
  <si>
    <r>
      <rPr>
        <sz val="10"/>
        <rFont val="Noto Sans CJK SC"/>
        <family val="2"/>
      </rPr>
      <t xml:space="preserve">严重漂移 —— 一个英国培训站 </t>
    </r>
    <r>
      <rPr>
        <sz val="10"/>
        <rFont val="Arial"/>
        <family val="0"/>
        <charset val="1"/>
      </rPr>
      <t xml:space="preserve">redcliffetraining.com </t>
    </r>
    <r>
      <rPr>
        <sz val="10"/>
        <rFont val="Noto Sans CJK SC"/>
        <family val="2"/>
      </rPr>
      <t xml:space="preserve">在排。整个 </t>
    </r>
    <r>
      <rPr>
        <sz val="10"/>
        <rFont val="Arial"/>
        <family val="0"/>
        <charset val="1"/>
      </rPr>
      <t xml:space="preserve">SERP </t>
    </r>
    <r>
      <rPr>
        <sz val="10"/>
        <rFont val="Noto Sans CJK SC"/>
        <family val="2"/>
      </rPr>
      <t xml:space="preserve">只有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页结果。无承包商占领</t>
    </r>
  </si>
  <si>
    <t xml:space="preserve">who pays for reinstatement singapore tenant or landlord</t>
  </si>
  <si>
    <r>
      <rPr>
        <sz val="10"/>
        <rFont val="Noto Sans CJK SC"/>
        <family val="2"/>
      </rPr>
      <t xml:space="preserve">答案框形状的查询，一条 </t>
    </r>
    <r>
      <rPr>
        <sz val="10"/>
        <rFont val="Arial"/>
        <family val="0"/>
        <charset val="1"/>
      </rPr>
      <t xml:space="preserve">Facebook </t>
    </r>
    <r>
      <rPr>
        <sz val="10"/>
        <rFont val="Noto Sans CJK SC"/>
        <family val="2"/>
      </rPr>
      <t xml:space="preserve">帖排第 </t>
    </r>
    <r>
      <rPr>
        <sz val="10"/>
        <rFont val="Arial"/>
        <family val="0"/>
        <charset val="1"/>
      </rPr>
      <t xml:space="preserve">9</t>
    </r>
  </si>
  <si>
    <t xml:space="preserve">defect rectification office reinstatement landlord dispute</t>
  </si>
  <si>
    <r>
      <rPr>
        <sz val="10"/>
        <rFont val="Noto Sans CJK SC"/>
        <family val="2"/>
      </rPr>
      <t xml:space="preserve">被标「</t>
    </r>
    <r>
      <rPr>
        <sz val="10"/>
        <rFont val="Arial"/>
        <family val="0"/>
        <charset val="1"/>
      </rPr>
      <t xml:space="preserve">Missing: defect</t>
    </r>
    <r>
      <rPr>
        <sz val="10"/>
        <rFont val="Noto Sans CJK SC"/>
        <family val="2"/>
      </rPr>
      <t xml:space="preserve">」，一条 </t>
    </r>
    <r>
      <rPr>
        <sz val="10"/>
        <rFont val="Arial"/>
        <family val="0"/>
        <charset val="1"/>
      </rPr>
      <t xml:space="preserve">Facebook </t>
    </r>
    <r>
      <rPr>
        <sz val="10"/>
        <rFont val="Noto Sans CJK SC"/>
        <family val="2"/>
      </rPr>
      <t xml:space="preserve">帖在排</t>
    </r>
  </si>
  <si>
    <t xml:space="preserve">office handover checklist singapore landlord</t>
  </si>
  <si>
    <t xml:space="preserve">/the-ultimate-office-reinstatement-checklist.../</t>
  </si>
  <si>
    <r>
      <rPr>
        <sz val="10"/>
        <rFont val="Noto Sans CJK SC"/>
        <family val="2"/>
      </rPr>
      <t xml:space="preserve">一家住宅搬家公司 </t>
    </r>
    <r>
      <rPr>
        <sz val="10"/>
        <rFont val="Arial"/>
        <family val="0"/>
        <charset val="1"/>
      </rPr>
      <t xml:space="preserve">tiptop-movers.com </t>
    </r>
    <r>
      <rPr>
        <sz val="10"/>
        <rFont val="Noto Sans CJK SC"/>
        <family val="2"/>
      </rPr>
      <t xml:space="preserve">在排；</t>
    </r>
    <r>
      <rPr>
        <sz val="10"/>
        <rFont val="Arial"/>
        <family val="0"/>
        <charset val="1"/>
      </rPr>
      <t xml:space="preserve">how2design4u.com </t>
    </r>
    <r>
      <rPr>
        <sz val="10"/>
        <rFont val="Noto Sans CJK SC"/>
        <family val="2"/>
      </rPr>
      <t xml:space="preserve">很薄</t>
    </r>
  </si>
  <si>
    <t xml:space="preserve">after hours night works permit office reinstatement singapore</t>
  </si>
  <si>
    <r>
      <rPr>
        <sz val="10"/>
        <rFont val="Noto Sans CJK SC"/>
        <family val="2"/>
      </rPr>
      <t xml:space="preserve">被标「</t>
    </r>
    <r>
      <rPr>
        <sz val="10"/>
        <rFont val="Arial"/>
        <family val="0"/>
        <charset val="1"/>
      </rPr>
      <t xml:space="preserve">Missing: night</t>
    </r>
    <r>
      <rPr>
        <sz val="10"/>
        <rFont val="Noto Sans CJK SC"/>
        <family val="2"/>
      </rPr>
      <t xml:space="preserve">」，无人有专门页，只有零散段落提及</t>
    </r>
  </si>
  <si>
    <t xml:space="preserve">MCST approval renovation singapore commercial</t>
  </si>
  <si>
    <t xml:space="preserve">6.25</t>
  </si>
  <si>
    <t xml:space="preserve">/the-ultimate-guide-to-mcst-approval.../</t>
  </si>
  <si>
    <r>
      <rPr>
        <sz val="10"/>
        <rFont val="Noto Sans CJK SC"/>
        <family val="2"/>
      </rPr>
      <t xml:space="preserve">结果全漂移到住宅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公寓 </t>
    </r>
    <r>
      <rPr>
        <sz val="10"/>
        <rFont val="Arial"/>
        <family val="0"/>
        <charset val="1"/>
      </rPr>
      <t xml:space="preserve">MCST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prdt.com.sg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goodrichglobal.com</t>
    </r>
    <r>
      <rPr>
        <sz val="10"/>
        <rFont val="Noto Sans CJK SC"/>
        <family val="2"/>
      </rPr>
      <t xml:space="preserve">）。商业 </t>
    </r>
    <r>
      <rPr>
        <sz val="10"/>
        <rFont val="Arial"/>
        <family val="0"/>
        <charset val="1"/>
      </rPr>
      <t xml:space="preserve">strata MCST </t>
    </r>
    <r>
      <rPr>
        <sz val="10"/>
        <rFont val="Noto Sans CJK SC"/>
        <family val="2"/>
      </rPr>
      <t xml:space="preserve">完全未覆盖</t>
    </r>
  </si>
  <si>
    <t xml:space="preserve">epoxy floor hacking cost singapore industrial reinstatement</t>
  </si>
  <si>
    <r>
      <rPr>
        <sz val="10"/>
        <rFont val="Noto Sans CJK SC"/>
        <family val="2"/>
      </rPr>
      <t xml:space="preserve">新建 或 并入 </t>
    </r>
    <r>
      <rPr>
        <sz val="10"/>
        <rFont val="Arial"/>
        <family val="0"/>
        <charset val="1"/>
      </rPr>
      <t xml:space="preserve">warehouse </t>
    </r>
    <r>
      <rPr>
        <sz val="10"/>
        <rFont val="Noto Sans CJK SC"/>
        <family val="2"/>
      </rPr>
      <t xml:space="preserve">页</t>
    </r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</si>
  <si>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个结果被标「</t>
    </r>
    <r>
      <rPr>
        <sz val="10"/>
        <rFont val="Arial"/>
        <family val="0"/>
        <charset val="1"/>
      </rPr>
      <t xml:space="preserve">Missing: epoxy</t>
    </r>
    <r>
      <rPr>
        <sz val="10"/>
        <rFont val="Noto Sans CJK SC"/>
        <family val="2"/>
      </rPr>
      <t xml:space="preserve">」，一个 </t>
    </r>
    <r>
      <rPr>
        <sz val="10"/>
        <rFont val="Arial"/>
        <family val="0"/>
        <charset val="1"/>
      </rPr>
      <t xml:space="preserve">Facebook </t>
    </r>
    <r>
      <rPr>
        <sz val="10"/>
        <rFont val="Noto Sans CJK SC"/>
        <family val="2"/>
      </rPr>
      <t xml:space="preserve">群组帖在排。</t>
    </r>
    <r>
      <rPr>
        <sz val="10"/>
        <rFont val="Arial"/>
        <family val="0"/>
        <charset val="1"/>
      </rPr>
      <t xml:space="preserve">epoxy </t>
    </r>
    <r>
      <rPr>
        <sz val="10"/>
        <rFont val="Noto Sans CJK SC"/>
        <family val="2"/>
      </rPr>
      <t xml:space="preserve">是你既有强项</t>
    </r>
  </si>
  <si>
    <t xml:space="preserve">what is office reinstatement singapore</t>
  </si>
  <si>
    <t xml:space="preserve">/commercial/reinstatement/</t>
  </si>
  <si>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个结果全是薄的承包商引言段。精选摘要 </t>
    </r>
    <r>
      <rPr>
        <sz val="10"/>
        <rFont val="Arial"/>
        <family val="0"/>
        <charset val="1"/>
      </rPr>
      <t xml:space="preserve">/ AIO </t>
    </r>
    <r>
      <rPr>
        <sz val="10"/>
        <rFont val="Noto Sans CJK SC"/>
        <family val="2"/>
      </rPr>
      <t xml:space="preserve">易拿。</t>
    </r>
    <r>
      <rPr>
        <sz val="10"/>
        <rFont val="Arial"/>
        <family val="0"/>
        <charset val="1"/>
      </rPr>
      <t xml:space="preserve">PAA </t>
    </r>
    <r>
      <rPr>
        <sz val="10"/>
        <rFont val="Noto Sans CJK SC"/>
        <family val="2"/>
      </rPr>
      <t xml:space="preserve">存在</t>
    </r>
  </si>
  <si>
    <t xml:space="preserve">JTC reinstatement requirements factory handover</t>
  </si>
  <si>
    <r>
      <rPr>
        <sz val="10"/>
        <rFont val="Arial"/>
        <family val="0"/>
        <charset val="1"/>
      </rPr>
      <t xml:space="preserve">jtc.gov.sg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位含 </t>
    </r>
    <r>
      <rPr>
        <sz val="10"/>
        <rFont val="Arial"/>
        <family val="0"/>
        <charset val="1"/>
      </rPr>
      <t xml:space="preserve">PDF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yktoh.com </t>
    </r>
    <r>
      <rPr>
        <sz val="10"/>
        <rFont val="Noto Sans CJK SC"/>
        <family val="2"/>
      </rPr>
      <t xml:space="preserve">被标「</t>
    </r>
    <r>
      <rPr>
        <sz val="10"/>
        <rFont val="Arial"/>
        <family val="0"/>
        <charset val="1"/>
      </rPr>
      <t xml:space="preserve">Missing: factory</t>
    </r>
    <r>
      <rPr>
        <sz val="10"/>
        <rFont val="Noto Sans CJK SC"/>
        <family val="2"/>
      </rPr>
      <t xml:space="preserve">」。政府占定义但承包商意图位置是软的</t>
    </r>
  </si>
  <si>
    <r>
      <rPr>
        <sz val="10"/>
        <rFont val="Noto Sans CJK SC"/>
        <family val="2"/>
      </rPr>
      <t xml:space="preserve">住宅 </t>
    </r>
    <r>
      <rPr>
        <sz val="10"/>
        <rFont val="Arial"/>
        <family val="0"/>
        <charset val="1"/>
      </rPr>
      <t xml:space="preserve">· Tier1 </t>
    </r>
    <r>
      <rPr>
        <sz val="10"/>
        <rFont val="Noto Sans CJK SC"/>
        <family val="2"/>
      </rPr>
      <t xml:space="preserve">真空</t>
    </r>
  </si>
  <si>
    <t xml:space="preserve">shoebox apartment renovation cost singapore</t>
  </si>
  <si>
    <t xml:space="preserve">6-7/10</t>
  </si>
  <si>
    <r>
      <rPr>
        <sz val="10"/>
        <rFont val="Noto Sans CJK SC"/>
        <family val="2"/>
      </rPr>
      <t xml:space="preserve">零个装修成本页存在。只有图库 </t>
    </r>
    <r>
      <rPr>
        <sz val="10"/>
        <rFont val="Arial"/>
        <family val="0"/>
        <charset val="1"/>
      </rPr>
      <t xml:space="preserve">homeanddecor/womensweekly + </t>
    </r>
    <r>
      <rPr>
        <sz val="10"/>
        <rFont val="Noto Sans CJK SC"/>
        <family val="2"/>
      </rPr>
      <t xml:space="preserve">房产投资站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一个 </t>
    </r>
    <r>
      <rPr>
        <sz val="10"/>
        <rFont val="Arial"/>
        <family val="0"/>
        <charset val="1"/>
      </rPr>
      <t xml:space="preserve">PropertyGuru </t>
    </r>
    <r>
      <rPr>
        <sz val="10"/>
        <rFont val="Noto Sans CJK SC"/>
        <family val="2"/>
      </rPr>
      <t xml:space="preserve">售房列表页</t>
    </r>
  </si>
  <si>
    <t xml:space="preserve">HDB reinstatement cost before selling flat singapore</t>
  </si>
  <si>
    <r>
      <rPr>
        <sz val="10"/>
        <rFont val="Noto Sans CJK SC"/>
        <family val="2"/>
      </rPr>
      <t xml:space="preserve">被售房指南站占领（</t>
    </r>
    <r>
      <rPr>
        <sz val="10"/>
        <rFont val="Arial"/>
        <family val="0"/>
        <charset val="1"/>
      </rPr>
      <t xml:space="preserve">homy.sg/propertynet.sg/aiproperty.sg</t>
    </r>
    <r>
      <rPr>
        <sz val="10"/>
        <rFont val="Noto Sans CJK SC"/>
        <family val="2"/>
      </rPr>
      <t xml:space="preserve">）。只有 </t>
    </r>
    <r>
      <rPr>
        <sz val="10"/>
        <rFont val="Arial"/>
        <family val="0"/>
        <charset val="1"/>
      </rPr>
      <t xml:space="preserve">getcontractor.sg </t>
    </r>
    <r>
      <rPr>
        <sz val="10"/>
        <rFont val="Noto Sans CJK SC"/>
        <family val="2"/>
      </rPr>
      <t xml:space="preserve">对题。与你商业 </t>
    </r>
    <r>
      <rPr>
        <sz val="10"/>
        <rFont val="Arial"/>
        <family val="0"/>
        <charset val="1"/>
      </rPr>
      <t xml:space="preserve">reinstatement </t>
    </r>
    <r>
      <rPr>
        <sz val="10"/>
        <rFont val="Noto Sans CJK SC"/>
        <family val="2"/>
      </rPr>
      <t xml:space="preserve">专长天然衔接 —— 优先做这个</t>
    </r>
  </si>
  <si>
    <t xml:space="preserve">condo renovation lift protection padding fee singapore</t>
  </si>
  <si>
    <r>
      <rPr>
        <sz val="10"/>
        <rFont val="Noto Sans CJK SC"/>
        <family val="2"/>
      </rPr>
      <t xml:space="preserve">一个 </t>
    </r>
    <r>
      <rPr>
        <sz val="10"/>
        <rFont val="Arial"/>
        <family val="0"/>
        <charset val="1"/>
      </rPr>
      <t xml:space="preserve">MCST </t>
    </r>
    <r>
      <rPr>
        <sz val="10"/>
        <rFont val="Noto Sans CJK SC"/>
        <family val="2"/>
      </rPr>
      <t xml:space="preserve">自己的 </t>
    </r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申请表 </t>
    </r>
    <r>
      <rPr>
        <sz val="10"/>
        <rFont val="Arial"/>
        <family val="0"/>
        <charset val="1"/>
      </rPr>
      <t xml:space="preserve">evergreenparkcondo.com </t>
    </r>
    <r>
      <rPr>
        <sz val="10"/>
        <rFont val="Noto Sans CJK SC"/>
        <family val="2"/>
      </rPr>
      <t xml:space="preserve">在排；其余是搬家公司和公寓维护费新闻</t>
    </r>
  </si>
  <si>
    <t xml:space="preserve">condo renovation deposit refund singapore</t>
  </si>
  <si>
    <r>
      <rPr>
        <sz val="10"/>
        <rFont val="Noto Sans CJK SC"/>
        <family val="2"/>
      </rPr>
      <t xml:space="preserve">全部是泛泛的 </t>
    </r>
    <r>
      <rPr>
        <sz val="10"/>
        <rFont val="Arial"/>
        <family val="0"/>
        <charset val="1"/>
      </rPr>
      <t xml:space="preserve">condo renovation rules </t>
    </r>
    <r>
      <rPr>
        <sz val="10"/>
        <rFont val="Noto Sans CJK SC"/>
        <family val="2"/>
      </rPr>
      <t xml:space="preserve">页，无任何专门的押金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退款页</t>
    </r>
  </si>
  <si>
    <t xml:space="preserve">HDB false ceiling sprinkler clearance singapore</t>
  </si>
  <si>
    <r>
      <rPr>
        <sz val="10"/>
        <rFont val="Noto Sans CJK SC"/>
        <family val="2"/>
      </rPr>
      <t xml:space="preserve">喷淋净空无人覆盖。在排的是通用假天花造价页 </t>
    </r>
    <r>
      <rPr>
        <sz val="10"/>
        <rFont val="Arial"/>
        <family val="0"/>
        <charset val="1"/>
      </rPr>
      <t xml:space="preserve">+ HDB </t>
    </r>
    <r>
      <rPr>
        <sz val="10"/>
        <rFont val="Noto Sans CJK SC"/>
        <family val="2"/>
      </rPr>
      <t xml:space="preserve">的商业 </t>
    </r>
    <r>
      <rPr>
        <sz val="10"/>
        <rFont val="Arial"/>
        <family val="0"/>
        <charset val="1"/>
      </rPr>
      <t xml:space="preserve">A&amp;A </t>
    </r>
    <r>
      <rPr>
        <sz val="10"/>
        <rFont val="Noto Sans CJK SC"/>
        <family val="2"/>
      </rPr>
      <t xml:space="preserve">页</t>
    </r>
  </si>
  <si>
    <t xml:space="preserve">HDB corridor tiling rules singapore</t>
  </si>
  <si>
    <r>
      <rPr>
        <sz val="10"/>
        <rFont val="Noto Sans CJK SC"/>
        <family val="2"/>
      </rPr>
      <t xml:space="preserve">一个商业贴砖页 </t>
    </r>
    <r>
      <rPr>
        <sz val="10"/>
        <rFont val="Arial"/>
        <family val="0"/>
        <charset val="1"/>
      </rPr>
      <t xml:space="preserve">leongyik.com.sg + </t>
    </r>
    <r>
      <rPr>
        <sz val="10"/>
        <rFont val="Noto Sans CJK SC"/>
        <family val="2"/>
      </rPr>
      <t xml:space="preserve">一个浴室规则页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一篇 </t>
    </r>
    <r>
      <rPr>
        <sz val="10"/>
        <rFont val="Arial"/>
        <family val="0"/>
        <charset val="1"/>
      </rPr>
      <t xml:space="preserve">TheSmartLocal </t>
    </r>
    <r>
      <rPr>
        <sz val="10"/>
        <rFont val="Noto Sans CJK SC"/>
        <family val="2"/>
      </rPr>
      <t xml:space="preserve">清单。无对题页面</t>
    </r>
  </si>
  <si>
    <t xml:space="preserve">condo balcony screen approval URA singapore</t>
  </si>
  <si>
    <r>
      <rPr>
        <sz val="10"/>
        <rFont val="Arial"/>
        <family val="0"/>
        <charset val="1"/>
      </rPr>
      <t xml:space="preserve">URA </t>
    </r>
    <r>
      <rPr>
        <sz val="10"/>
        <rFont val="Noto Sans CJK SC"/>
        <family val="2"/>
      </rPr>
      <t xml:space="preserve">原始 </t>
    </r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通函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一个 </t>
    </r>
    <r>
      <rPr>
        <sz val="10"/>
        <rFont val="Arial"/>
        <family val="0"/>
        <charset val="1"/>
      </rPr>
      <t xml:space="preserve">PropertyGuru </t>
    </r>
    <r>
      <rPr>
        <sz val="10"/>
        <rFont val="Noto Sans CJK SC"/>
        <family val="2"/>
      </rPr>
      <t xml:space="preserve">论坛帖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一个窗帘零售商 </t>
    </r>
    <r>
      <rPr>
        <sz val="10"/>
        <rFont val="Arial"/>
        <family val="0"/>
        <charset val="1"/>
      </rPr>
      <t xml:space="preserve">tcb.com.sg + </t>
    </r>
    <r>
      <rPr>
        <sz val="10"/>
        <rFont val="Noto Sans CJK SC"/>
        <family val="2"/>
      </rPr>
      <t xml:space="preserve">转载的 </t>
    </r>
    <r>
      <rPr>
        <sz val="10"/>
        <rFont val="Arial"/>
        <family val="0"/>
        <charset val="1"/>
      </rPr>
      <t xml:space="preserve">Yahoo News</t>
    </r>
  </si>
  <si>
    <t xml:space="preserve">HDB bay window removal allowed singapore</t>
  </si>
  <si>
    <r>
      <rPr>
        <sz val="10"/>
        <rFont val="Noto Sans CJK SC"/>
        <family val="2"/>
      </rPr>
      <t xml:space="preserve">没有一个结果回答这个问题。在排的是窗花 </t>
    </r>
    <r>
      <rPr>
        <sz val="10"/>
        <rFont val="Arial"/>
        <family val="0"/>
        <charset val="1"/>
      </rPr>
      <t xml:space="preserve">windowgrill.com.sg </t>
    </r>
    <r>
      <rPr>
        <sz val="10"/>
        <rFont val="Noto Sans CJK SC"/>
        <family val="2"/>
      </rPr>
      <t xml:space="preserve">和飘窗座椅造型 </t>
    </r>
    <r>
      <rPr>
        <sz val="10"/>
        <rFont val="Arial"/>
        <family val="0"/>
        <charset val="1"/>
      </rPr>
      <t xml:space="preserve">styledegree</t>
    </r>
  </si>
  <si>
    <t xml:space="preserve">SERS replacement flat renovation singapore</t>
  </si>
  <si>
    <r>
      <rPr>
        <sz val="10"/>
        <rFont val="Arial"/>
        <family val="0"/>
        <charset val="1"/>
      </rPr>
      <t xml:space="preserve">Wikipedia + HDB.gov.sg + </t>
    </r>
    <r>
      <rPr>
        <sz val="10"/>
        <rFont val="Noto Sans CJK SC"/>
        <family val="2"/>
      </rPr>
      <t xml:space="preserve">一个单栋组屋的爱好者站 </t>
    </r>
    <r>
      <rPr>
        <sz val="10"/>
        <rFont val="Arial"/>
        <family val="0"/>
        <charset val="1"/>
      </rPr>
      <t xml:space="preserve">563amk.com</t>
    </r>
    <r>
      <rPr>
        <sz val="10"/>
        <rFont val="Noto Sans CJK SC"/>
        <family val="2"/>
      </rPr>
      <t xml:space="preserve">。零承包商页</t>
    </r>
  </si>
  <si>
    <r>
      <rPr>
        <sz val="10"/>
        <rFont val="Noto Sans CJK SC"/>
        <family val="2"/>
      </rPr>
      <t xml:space="preserve">住宅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落地页</t>
    </r>
  </si>
  <si>
    <t xml:space="preserve">bto renovation singapore / package</t>
  </si>
  <si>
    <r>
      <rPr>
        <sz val="10"/>
        <rFont val="Noto Sans CJK SC"/>
        <family val="2"/>
      </rPr>
      <t xml:space="preserve">低（头部）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中（落地页必要）</t>
    </r>
  </si>
  <si>
    <r>
      <rPr>
        <sz val="10"/>
        <rFont val="Arial"/>
        <family val="0"/>
        <charset val="1"/>
      </rPr>
      <t xml:space="preserve">/bto-renovation-singapore/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</si>
  <si>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头部词 </t>
    </r>
    <r>
      <rPr>
        <sz val="10"/>
        <rFont val="Arial"/>
        <family val="0"/>
        <charset val="1"/>
      </rPr>
      <t xml:space="preserve">1/10 </t>
    </r>
    <r>
      <rPr>
        <sz val="10"/>
        <rFont val="Noto Sans CJK SC"/>
        <family val="2"/>
      </rPr>
      <t xml:space="preserve">不可赢，但需要落地页承接现有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篇 </t>
    </r>
    <r>
      <rPr>
        <sz val="10"/>
        <rFont val="Arial"/>
        <family val="0"/>
        <charset val="1"/>
      </rPr>
      <t xml:space="preserve">BTO/Resale/Condo </t>
    </r>
    <r>
      <rPr>
        <sz val="10"/>
        <rFont val="Noto Sans CJK SC"/>
        <family val="2"/>
      </rPr>
      <t xml:space="preserve">博文，并修 </t>
    </r>
    <r>
      <rPr>
        <sz val="10"/>
        <rFont val="Arial"/>
        <family val="0"/>
        <charset val="1"/>
      </rPr>
      <t xml:space="preserve">/residential/ </t>
    </r>
    <r>
      <rPr>
        <sz val="10"/>
        <rFont val="Noto Sans CJK SC"/>
        <family val="2"/>
      </rPr>
      <t xml:space="preserve">标题与内容不符。</t>
    </r>
    <r>
      <rPr>
        <sz val="10"/>
        <rFont val="Arial"/>
        <family val="0"/>
        <charset val="1"/>
      </rPr>
      <t xml:space="preserve">Portfolio </t>
    </r>
    <r>
      <rPr>
        <sz val="10"/>
        <rFont val="Noto Sans CJK SC"/>
        <family val="2"/>
      </rPr>
      <t xml:space="preserve">已有 </t>
    </r>
    <r>
      <rPr>
        <sz val="10"/>
        <rFont val="Arial"/>
        <family val="0"/>
        <charset val="1"/>
      </rPr>
      <t xml:space="preserve">436A Punggol / 241 Tengah / 76A Circuit / 175B Sengkang </t>
    </r>
    <r>
      <rPr>
        <sz val="10"/>
        <rFont val="Noto Sans CJK SC"/>
        <family val="2"/>
      </rPr>
      <t xml:space="preserve">可嵌入</t>
    </r>
  </si>
  <si>
    <t xml:space="preserve">resale hdb renovation singapore</t>
  </si>
  <si>
    <r>
      <rPr>
        <sz val="10"/>
        <rFont val="Arial"/>
        <family val="0"/>
        <charset val="1"/>
      </rPr>
      <t xml:space="preserve">/resale-hdb-renovation-singapore/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</si>
  <si>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同上。</t>
    </r>
    <r>
      <rPr>
        <sz val="10"/>
        <rFont val="Arial"/>
        <family val="0"/>
        <charset val="1"/>
      </rPr>
      <t xml:space="preserve">Portfolio </t>
    </r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142 Rivervale Crescent(Resale 5rm)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667 CCK Cres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651 Yishun Ave 4</t>
    </r>
  </si>
  <si>
    <t xml:space="preserve">condo renovation singapore</t>
  </si>
  <si>
    <r>
      <rPr>
        <sz val="10"/>
        <rFont val="Arial"/>
        <family val="0"/>
        <charset val="1"/>
      </rPr>
      <t xml:space="preserve">/condo-renovation-singapore/ (</t>
    </r>
    <r>
      <rPr>
        <sz val="10"/>
        <rFont val="Noto Sans CJK SC"/>
        <family val="2"/>
      </rPr>
      <t xml:space="preserve">新建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</si>
  <si>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同上。</t>
    </r>
    <r>
      <rPr>
        <sz val="10"/>
        <rFont val="Arial"/>
        <family val="0"/>
        <charset val="1"/>
      </rPr>
      <t xml:space="preserve">Portfolio </t>
    </r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101 Woodland Views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80 Flora Road</t>
    </r>
  </si>
  <si>
    <t xml:space="preserve">❌ 明确放弃</t>
  </si>
  <si>
    <t xml:space="preserve">reinstatement contractor singapore</t>
  </si>
  <si>
    <t xml:space="preserve">45.67</t>
  </si>
  <si>
    <r>
      <rPr>
        <sz val="10"/>
        <color rgb="FF808080"/>
        <rFont val="Arial"/>
        <family val="0"/>
        <charset val="1"/>
      </rPr>
      <t xml:space="preserve">2/10 </t>
    </r>
    <r>
      <rPr>
        <sz val="10"/>
        <color rgb="FF808080"/>
        <rFont val="Noto Sans CJK SC"/>
        <family val="2"/>
      </rPr>
      <t xml:space="preserve">放弃</t>
    </r>
  </si>
  <si>
    <t xml:space="preserve">放弃</t>
  </si>
  <si>
    <r>
      <rPr>
        <sz val="10"/>
        <color rgb="FF808080"/>
        <rFont val="Noto Sans CJK SC"/>
        <family val="2"/>
      </rPr>
      <t xml:space="preserve">主要金钱词，被专营单一用途域名把持多年（</t>
    </r>
    <r>
      <rPr>
        <sz val="10"/>
        <color rgb="FF808080"/>
        <rFont val="Arial"/>
        <family val="0"/>
        <charset val="1"/>
      </rPr>
      <t xml:space="preserve">victorcontractor / crownworkspace / flr.sg / bdcontractors</t>
    </r>
    <r>
      <rPr>
        <sz val="10"/>
        <color rgb="FF808080"/>
        <rFont val="Noto Sans CJK SC"/>
        <family val="2"/>
      </rPr>
      <t xml:space="preserve">）。目标定 </t>
    </r>
    <r>
      <rPr>
        <sz val="10"/>
        <color rgb="FF808080"/>
        <rFont val="Arial"/>
        <family val="0"/>
        <charset val="1"/>
      </rPr>
      <t xml:space="preserve">12-18 </t>
    </r>
    <r>
      <rPr>
        <sz val="10"/>
        <color rgb="FF808080"/>
        <rFont val="Noto Sans CJK SC"/>
        <family val="2"/>
      </rPr>
      <t xml:space="preserve">个月</t>
    </r>
  </si>
  <si>
    <t xml:space="preserve">office renovation contractor singapore</t>
  </si>
  <si>
    <t xml:space="preserve">44</t>
  </si>
  <si>
    <t xml:space="preserve">41.80</t>
  </si>
  <si>
    <r>
      <rPr>
        <sz val="10"/>
        <color rgb="FF808080"/>
        <rFont val="Arial"/>
        <family val="0"/>
        <charset val="1"/>
      </rPr>
      <t xml:space="preserve">DB&amp;B / ID21 / Conexus / IDI —— 25 </t>
    </r>
    <r>
      <rPr>
        <sz val="10"/>
        <color rgb="FF808080"/>
        <rFont val="Noto Sans CJK SC"/>
        <family val="2"/>
      </rPr>
      <t xml:space="preserve">年以上品牌、有评分星标、还有一个 </t>
    </r>
    <r>
      <rPr>
        <sz val="10"/>
        <color rgb="FF808080"/>
        <rFont val="Arial"/>
        <family val="0"/>
        <charset val="1"/>
      </rPr>
      <t xml:space="preserve">Reddit+Quora </t>
    </r>
    <r>
      <rPr>
        <sz val="10"/>
        <color rgb="FF808080"/>
        <rFont val="Noto Sans CJK SC"/>
        <family val="2"/>
      </rPr>
      <t xml:space="preserve">论坛块吃掉一个位</t>
    </r>
  </si>
  <si>
    <t xml:space="preserve">commercial renovation singapore</t>
  </si>
  <si>
    <t xml:space="preserve">57</t>
  </si>
  <si>
    <t xml:space="preserve">51.35</t>
  </si>
  <si>
    <r>
      <rPr>
        <sz val="10"/>
        <color rgb="FF808080"/>
        <rFont val="Arial"/>
        <family val="0"/>
        <charset val="1"/>
      </rPr>
      <t xml:space="preserve">4/10 </t>
    </r>
    <r>
      <rPr>
        <sz val="10"/>
        <color rgb="FF808080"/>
        <rFont val="Noto Sans CJK SC"/>
        <family val="2"/>
      </rPr>
      <t xml:space="preserve">放弃</t>
    </r>
  </si>
  <si>
    <r>
      <rPr>
        <sz val="10"/>
        <color rgb="FF808080"/>
        <rFont val="Noto Sans CJK SC"/>
        <family val="2"/>
      </rPr>
      <t xml:space="preserve">两个 </t>
    </r>
    <r>
      <rPr>
        <sz val="10"/>
        <color rgb="FF808080"/>
        <rFont val="Arial"/>
        <family val="0"/>
        <charset val="1"/>
      </rPr>
      <t xml:space="preserve">EMD </t>
    </r>
    <r>
      <rPr>
        <sz val="10"/>
        <color rgb="FF808080"/>
        <rFont val="Noto Sans CJK SC"/>
        <family val="2"/>
      </rPr>
      <t xml:space="preserve">在排 </t>
    </r>
    <r>
      <rPr>
        <sz val="10"/>
        <color rgb="FF808080"/>
        <rFont val="Arial"/>
        <family val="0"/>
        <charset val="1"/>
      </rPr>
      <t xml:space="preserve">= SERP </t>
    </r>
    <r>
      <rPr>
        <sz val="10"/>
        <color rgb="FF808080"/>
        <rFont val="Noto Sans CJK SC"/>
        <family val="2"/>
      </rPr>
      <t xml:space="preserve">弱，但意图宽泛转化差，你在位置 </t>
    </r>
    <r>
      <rPr>
        <sz val="10"/>
        <color rgb="FF808080"/>
        <rFont val="Arial"/>
        <family val="0"/>
        <charset val="1"/>
      </rPr>
      <t xml:space="preserve">51</t>
    </r>
    <r>
      <rPr>
        <sz val="10"/>
        <color rgb="FF808080"/>
        <rFont val="Noto Sans CJK SC"/>
        <family val="2"/>
      </rPr>
      <t xml:space="preserve">。不值得继续投入</t>
    </r>
  </si>
  <si>
    <t xml:space="preserve">retail fit out singapore</t>
  </si>
  <si>
    <r>
      <rPr>
        <sz val="10"/>
        <color rgb="FF808080"/>
        <rFont val="Arial"/>
        <family val="0"/>
        <charset val="1"/>
      </rPr>
      <t xml:space="preserve">6 </t>
    </r>
    <r>
      <rPr>
        <sz val="10"/>
        <color rgb="FF808080"/>
        <rFont val="Noto Sans CJK SC"/>
        <family val="2"/>
      </rPr>
      <t xml:space="preserve">个广告 </t>
    </r>
    <r>
      <rPr>
        <sz val="10"/>
        <color rgb="FF808080"/>
        <rFont val="Arial"/>
        <family val="0"/>
        <charset val="1"/>
      </rPr>
      <t xml:space="preserve">+ AI Overview + </t>
    </r>
    <r>
      <rPr>
        <sz val="10"/>
        <color rgb="FF808080"/>
        <rFont val="Noto Sans CJK SC"/>
        <family val="2"/>
      </rPr>
      <t xml:space="preserve">一个 </t>
    </r>
    <r>
      <rPr>
        <sz val="10"/>
        <color rgb="FF808080"/>
        <rFont val="Arial"/>
        <family val="0"/>
        <charset val="1"/>
      </rPr>
      <t xml:space="preserve">480 </t>
    </r>
    <r>
      <rPr>
        <sz val="10"/>
        <color rgb="FF808080"/>
        <rFont val="Noto Sans CJK SC"/>
        <family val="2"/>
      </rPr>
      <t xml:space="preserve">评论的本地包（</t>
    </r>
    <r>
      <rPr>
        <sz val="10"/>
        <color rgb="FF808080"/>
        <rFont val="Arial"/>
        <family val="0"/>
        <charset val="1"/>
      </rPr>
      <t xml:space="preserve">Ft2 Ubi 4.9★/480</t>
    </r>
    <r>
      <rPr>
        <sz val="10"/>
        <color rgb="FF808080"/>
        <rFont val="Noto Sans CJK SC"/>
        <family val="2"/>
      </rPr>
      <t xml:space="preserve">）</t>
    </r>
    <r>
      <rPr>
        <sz val="10"/>
        <color rgb="FF808080"/>
        <rFont val="Arial"/>
        <family val="0"/>
        <charset val="1"/>
      </rPr>
      <t xml:space="preserve">+ LinkedIn</t>
    </r>
    <r>
      <rPr>
        <sz val="10"/>
        <color rgb="FF808080"/>
        <rFont val="Noto Sans CJK SC"/>
        <family val="2"/>
      </rPr>
      <t xml:space="preserve">。自然第 </t>
    </r>
    <r>
      <rPr>
        <sz val="10"/>
        <color rgb="FF808080"/>
        <rFont val="Arial"/>
        <family val="0"/>
        <charset val="1"/>
      </rPr>
      <t xml:space="preserve">1 </t>
    </r>
    <r>
      <rPr>
        <sz val="10"/>
        <color rgb="FF808080"/>
        <rFont val="Noto Sans CJK SC"/>
        <family val="2"/>
      </rPr>
      <t xml:space="preserve">名实际在首屏以下</t>
    </r>
  </si>
  <si>
    <t xml:space="preserve">commercial fit out singapore</t>
  </si>
  <si>
    <r>
      <rPr>
        <sz val="10"/>
        <color rgb="FF808080"/>
        <rFont val="Noto Sans CJK SC"/>
        <family val="2"/>
      </rPr>
      <t xml:space="preserve">相当大比例搜索量是导航到 </t>
    </r>
    <r>
      <rPr>
        <sz val="10"/>
        <color rgb="FF808080"/>
        <rFont val="Arial"/>
        <family val="0"/>
        <charset val="1"/>
      </rPr>
      <t xml:space="preserve">Legend Interiors </t>
    </r>
    <r>
      <rPr>
        <sz val="10"/>
        <color rgb="FF808080"/>
        <rFont val="Noto Sans CJK SC"/>
        <family val="2"/>
      </rPr>
      <t xml:space="preserve">的品牌词（</t>
    </r>
    <r>
      <rPr>
        <sz val="10"/>
        <color rgb="FF808080"/>
        <rFont val="Arial"/>
        <family val="0"/>
        <charset val="1"/>
      </rPr>
      <t xml:space="preserve">PASF </t>
    </r>
    <r>
      <rPr>
        <sz val="10"/>
        <color rgb="FF808080"/>
        <rFont val="Noto Sans CJK SC"/>
        <family val="2"/>
      </rPr>
      <t xml:space="preserve">全是 </t>
    </r>
    <r>
      <rPr>
        <sz val="10"/>
        <color rgb="FF808080"/>
        <rFont val="Arial"/>
        <family val="0"/>
        <charset val="1"/>
      </rPr>
      <t xml:space="preserve">Legend </t>
    </r>
    <r>
      <rPr>
        <sz val="10"/>
        <color rgb="FF808080"/>
        <rFont val="Noto Sans CJK SC"/>
        <family val="2"/>
      </rPr>
      <t xml:space="preserve">相关）</t>
    </r>
  </si>
  <si>
    <t xml:space="preserve">hdb painting / hdb painting services</t>
  </si>
  <si>
    <t xml:space="preserve">62/55</t>
  </si>
  <si>
    <t xml:space="preserve">32.48/58.95</t>
  </si>
  <si>
    <t xml:space="preserve">低</t>
  </si>
  <si>
    <t xml:space="preserve">/hdb-painting-options-cost-singapore/</t>
  </si>
  <si>
    <t xml:space="preserve">维持</t>
  </si>
  <si>
    <r>
      <rPr>
        <sz val="10"/>
        <color rgb="FF808080"/>
        <rFont val="Noto Sans CJK SC"/>
        <family val="2"/>
      </rPr>
      <t xml:space="preserve">已有 </t>
    </r>
    <r>
      <rPr>
        <sz val="10"/>
        <color rgb="FF808080"/>
        <rFont val="Arial"/>
        <family val="0"/>
        <charset val="1"/>
      </rPr>
      <t xml:space="preserve">1,850 </t>
    </r>
    <r>
      <rPr>
        <sz val="10"/>
        <color rgb="FF808080"/>
        <rFont val="Noto Sans CJK SC"/>
        <family val="2"/>
      </rPr>
      <t xml:space="preserve">字 </t>
    </r>
    <r>
      <rPr>
        <sz val="10"/>
        <color rgb="FF808080"/>
        <rFont val="Arial"/>
        <family val="0"/>
        <charset val="1"/>
      </rPr>
      <t xml:space="preserve">+ </t>
    </r>
    <r>
      <rPr>
        <sz val="10"/>
        <color rgb="FF808080"/>
        <rFont val="Noto Sans CJK SC"/>
        <family val="2"/>
      </rPr>
      <t xml:space="preserve">完整分房型价格表，但头部词竞争激烈。修 </t>
    </r>
    <r>
      <rPr>
        <sz val="10"/>
        <color rgb="FF808080"/>
        <rFont val="Arial"/>
        <family val="0"/>
        <charset val="1"/>
      </rPr>
      <t xml:space="preserve">H1 </t>
    </r>
    <r>
      <rPr>
        <sz val="10"/>
        <color rgb="FF808080"/>
        <rFont val="Noto Sans CJK SC"/>
        <family val="2"/>
      </rPr>
      <t xml:space="preserve">后维持，不追加投入</t>
    </r>
  </si>
  <si>
    <t xml:space="preserve">❌ 明确避开</t>
  </si>
  <si>
    <t xml:space="preserve">HDB renovation permit / HDB hacking rules / condo MCST renovation approval / HDB renovation noise hours</t>
  </si>
  <si>
    <r>
      <rPr>
        <sz val="10"/>
        <color rgb="FF808080"/>
        <rFont val="Arial"/>
        <family val="0"/>
        <charset val="1"/>
      </rPr>
      <t xml:space="preserve">2/10 </t>
    </r>
    <r>
      <rPr>
        <sz val="10"/>
        <color rgb="FF808080"/>
        <rFont val="Noto Sans CJK SC"/>
        <family val="2"/>
      </rPr>
      <t xml:space="preserve">避开</t>
    </r>
  </si>
  <si>
    <t xml:space="preserve">避开</t>
  </si>
  <si>
    <r>
      <rPr>
        <sz val="10"/>
        <color rgb="FF808080"/>
        <rFont val="Noto Sans CJK SC"/>
        <family val="2"/>
      </rPr>
      <t xml:space="preserve">⚠ 看起来空白其实最卷 —— 这四个是每家新加坡承包商 </t>
    </r>
    <r>
      <rPr>
        <sz val="10"/>
        <color rgb="FF808080"/>
        <rFont val="Arial"/>
        <family val="0"/>
        <charset val="1"/>
      </rPr>
      <t xml:space="preserve">SEO </t>
    </r>
    <r>
      <rPr>
        <sz val="10"/>
        <color rgb="FF808080"/>
        <rFont val="Noto Sans CJK SC"/>
        <family val="2"/>
      </rPr>
      <t xml:space="preserve">的标准开局，每个都有 </t>
    </r>
    <r>
      <rPr>
        <sz val="10"/>
        <color rgb="FF808080"/>
        <rFont val="Arial"/>
        <family val="0"/>
        <charset val="1"/>
      </rPr>
      <t xml:space="preserve">6-8 </t>
    </r>
    <r>
      <rPr>
        <sz val="10"/>
        <color rgb="FF808080"/>
        <rFont val="Noto Sans CJK SC"/>
        <family val="2"/>
      </rPr>
      <t xml:space="preserve">个专门优化过的竞品页</t>
    </r>
  </si>
  <si>
    <t xml:space="preserve">URA change of use approval office to retail singapore</t>
  </si>
  <si>
    <r>
      <rPr>
        <sz val="10"/>
        <color rgb="FF808080"/>
        <rFont val="Arial"/>
        <family val="0"/>
        <charset val="1"/>
      </rPr>
      <t xml:space="preserve">ura.gov.sg </t>
    </r>
    <r>
      <rPr>
        <sz val="10"/>
        <color rgb="FF808080"/>
        <rFont val="Noto Sans CJK SC"/>
        <family val="2"/>
      </rPr>
      <t xml:space="preserve">独占前 </t>
    </r>
    <r>
      <rPr>
        <sz val="10"/>
        <color rgb="FF808080"/>
        <rFont val="Arial"/>
        <family val="0"/>
        <charset val="1"/>
      </rPr>
      <t xml:space="preserve">10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5 </t>
    </r>
    <r>
      <rPr>
        <sz val="10"/>
        <color rgb="FF808080"/>
        <rFont val="Noto Sans CJK SC"/>
        <family val="2"/>
      </rPr>
      <t xml:space="preserve">个位 </t>
    </r>
    <r>
      <rPr>
        <sz val="10"/>
        <color rgb="FF808080"/>
        <rFont val="Arial"/>
        <family val="0"/>
        <charset val="1"/>
      </rPr>
      <t xml:space="preserve">+ licensing.gobusiness.gov.sg</t>
    </r>
    <r>
      <rPr>
        <sz val="10"/>
        <color rgb="FF808080"/>
        <rFont val="Noto Sans CJK SC"/>
        <family val="2"/>
      </rPr>
      <t xml:space="preserve">。政府站在法规流程类查询上无法撼动。同样注意 </t>
    </r>
    <r>
      <rPr>
        <sz val="10"/>
        <color rgb="FF808080"/>
        <rFont val="Arial"/>
        <family val="0"/>
        <charset val="1"/>
      </rPr>
      <t xml:space="preserve">SCDF plan approval / JTC returning premises</t>
    </r>
  </si>
  <si>
    <t xml:space="preserve">❌ 意图错误</t>
  </si>
  <si>
    <t xml:space="preserve">rental room renovation singapore</t>
  </si>
  <si>
    <t xml:space="preserve">混杂</t>
  </si>
  <si>
    <t xml:space="preserve">不做</t>
  </si>
  <si>
    <r>
      <rPr>
        <sz val="10"/>
        <color rgb="FF808080"/>
        <rFont val="Arial"/>
        <family val="0"/>
        <charset val="1"/>
      </rPr>
      <t xml:space="preserve">SERP </t>
    </r>
    <r>
      <rPr>
        <sz val="10"/>
        <color rgb="FF808080"/>
        <rFont val="Noto Sans CJK SC"/>
        <family val="2"/>
      </rPr>
      <t xml:space="preserve">意图是破碎的 —— </t>
    </r>
    <r>
      <rPr>
        <sz val="10"/>
        <color rgb="FF808080"/>
        <rFont val="Arial"/>
        <family val="0"/>
        <charset val="1"/>
      </rPr>
      <t xml:space="preserve">Carousell </t>
    </r>
    <r>
      <rPr>
        <sz val="10"/>
        <color rgb="FF808080"/>
        <rFont val="Noto Sans CJK SC"/>
        <family val="2"/>
      </rPr>
      <t xml:space="preserve">房源列表 </t>
    </r>
    <r>
      <rPr>
        <sz val="10"/>
        <color rgb="FF808080"/>
        <rFont val="Arial"/>
        <family val="0"/>
        <charset val="1"/>
      </rPr>
      <t xml:space="preserve">/ Lemon8 /</t>
    </r>
    <r>
      <rPr>
        <sz val="10"/>
        <color rgb="FF808080"/>
        <rFont val="Noto Sans CJK SC"/>
        <family val="2"/>
      </rPr>
      <t xml:space="preserve">「装修期间住哪」。不要为这个词建服务页</t>
    </r>
  </si>
  <si>
    <r>
      <rPr>
        <i val="true"/>
        <sz val="10"/>
        <color rgb="FF808080"/>
        <rFont val="Noto Sans CJK SC"/>
        <family val="2"/>
      </rPr>
      <t xml:space="preserve">每周追踪表 </t>
    </r>
    <r>
      <rPr>
        <i val="true"/>
        <sz val="10"/>
        <color rgb="FF808080"/>
        <rFont val="Arial"/>
        <family val="0"/>
        <charset val="1"/>
      </rPr>
      <t xml:space="preserve">· </t>
    </r>
    <r>
      <rPr>
        <i val="true"/>
        <sz val="10"/>
        <color rgb="FF808080"/>
        <rFont val="Noto Sans CJK SC"/>
        <family val="2"/>
      </rPr>
      <t xml:space="preserve">蓝字黄底 </t>
    </r>
    <r>
      <rPr>
        <i val="true"/>
        <sz val="10"/>
        <color rgb="FF808080"/>
        <rFont val="Arial"/>
        <family val="0"/>
        <charset val="1"/>
      </rPr>
      <t xml:space="preserve">= </t>
    </r>
    <r>
      <rPr>
        <i val="true"/>
        <sz val="10"/>
        <color rgb="FF808080"/>
        <rFont val="Noto Sans CJK SC"/>
        <family val="2"/>
      </rPr>
      <t xml:space="preserve">你每周填的格；黑字 </t>
    </r>
    <r>
      <rPr>
        <i val="true"/>
        <sz val="10"/>
        <color rgb="FF808080"/>
        <rFont val="Arial"/>
        <family val="0"/>
        <charset val="1"/>
      </rPr>
      <t xml:space="preserve">= </t>
    </r>
    <r>
      <rPr>
        <i val="true"/>
        <sz val="10"/>
        <color rgb="FF808080"/>
        <rFont val="Noto Sans CJK SC"/>
        <family val="2"/>
      </rPr>
      <t xml:space="preserve">自动计算</t>
    </r>
  </si>
  <si>
    <t xml:space="preserve">周结束日</t>
  </si>
  <si>
    <t xml:space="preserve">非品牌展示</t>
  </si>
  <si>
    <t xml:space="preserve">非品牌点击</t>
  </si>
  <si>
    <r>
      <rPr>
        <b val="true"/>
        <sz val="10"/>
        <color rgb="FFFFFFFF"/>
        <rFont val="Noto Sans CJK SC"/>
        <family val="2"/>
      </rPr>
      <t xml:space="preserve">非品牌</t>
    </r>
    <r>
      <rPr>
        <b val="true"/>
        <sz val="10"/>
        <color rgb="FFFFFFFF"/>
        <rFont val="Arial"/>
        <family val="0"/>
        <charset val="1"/>
      </rPr>
      <t xml:space="preserve">CTR</t>
    </r>
  </si>
  <si>
    <t xml:space="preserve">非品牌平均排名</t>
  </si>
  <si>
    <t xml:space="preserve">已索引页数</t>
  </si>
  <si>
    <t xml:space="preserve">未索引页数</t>
  </si>
  <si>
    <t xml:space="preserve">索引率</t>
  </si>
  <si>
    <r>
      <rPr>
        <b val="true"/>
        <sz val="10"/>
        <color rgb="FFFFFFFF"/>
        <rFont val="Arial"/>
        <family val="0"/>
        <charset val="1"/>
      </rPr>
      <t xml:space="preserve">GBP </t>
    </r>
    <r>
      <rPr>
        <b val="true"/>
        <sz val="10"/>
        <color rgb="FFFFFFFF"/>
        <rFont val="Noto Sans CJK SC"/>
        <family val="2"/>
      </rPr>
      <t xml:space="preserve">电话</t>
    </r>
  </si>
  <si>
    <t xml:space="preserve">GBP Messages</t>
  </si>
  <si>
    <r>
      <rPr>
        <b val="true"/>
        <sz val="10"/>
        <color rgb="FFFFFFFF"/>
        <rFont val="Arial"/>
        <family val="0"/>
        <charset val="1"/>
      </rPr>
      <t xml:space="preserve">GBP </t>
    </r>
    <r>
      <rPr>
        <b val="true"/>
        <sz val="10"/>
        <color rgb="FFFFFFFF"/>
        <rFont val="Noto Sans CJK SC"/>
        <family val="2"/>
      </rPr>
      <t xml:space="preserve">网站点击</t>
    </r>
  </si>
  <si>
    <r>
      <rPr>
        <b val="true"/>
        <sz val="10"/>
        <color rgb="FFFFFFFF"/>
        <rFont val="Arial"/>
        <family val="0"/>
        <charset val="1"/>
      </rPr>
      <t xml:space="preserve">WhatsApp </t>
    </r>
    <r>
      <rPr>
        <b val="true"/>
        <sz val="10"/>
        <color rgb="FFFFFFFF"/>
        <rFont val="Noto Sans CJK SC"/>
        <family val="2"/>
      </rPr>
      <t xml:space="preserve">线索</t>
    </r>
  </si>
  <si>
    <t xml:space="preserve">表单线索</t>
  </si>
  <si>
    <t xml:space="preserve">线索合计</t>
  </si>
  <si>
    <t xml:space="preserve">已报价</t>
  </si>
  <si>
    <t xml:space="preserve">成单</t>
  </si>
  <si>
    <t xml:space="preserve">备注</t>
  </si>
  <si>
    <t xml:space="preserve">2026-07-28</t>
  </si>
  <si>
    <r>
      <rPr>
        <sz val="10"/>
        <rFont val="Noto Sans CJK SC"/>
        <family val="2"/>
      </rPr>
      <t xml:space="preserve">基线（</t>
    </r>
    <r>
      <rPr>
        <sz val="10"/>
        <rFont val="Arial"/>
        <family val="0"/>
        <charset val="1"/>
      </rPr>
      <t xml:space="preserve">GSC 7/28 </t>
    </r>
    <r>
      <rPr>
        <sz val="10"/>
        <rFont val="Noto Sans CJK SC"/>
        <family val="2"/>
      </rPr>
      <t xml:space="preserve">导出，非品牌切片；</t>
    </r>
    <r>
      <rPr>
        <sz val="10"/>
        <rFont val="Arial"/>
        <family val="0"/>
        <charset val="1"/>
      </rPr>
      <t xml:space="preserve">GBP </t>
    </r>
    <r>
      <rPr>
        <sz val="10"/>
        <rFont val="Noto Sans CJK SC"/>
        <family val="2"/>
      </rPr>
      <t xml:space="preserve">与线索数据尚未开始追踪）</t>
    </r>
  </si>
  <si>
    <r>
      <rPr>
        <b val="true"/>
        <sz val="10"/>
        <color rgb="FF1F3864"/>
        <rFont val="Noto Sans CJK SC"/>
        <family val="2"/>
      </rPr>
      <t xml:space="preserve">目标区间（来自 </t>
    </r>
    <r>
      <rPr>
        <b val="true"/>
        <sz val="10"/>
        <color rgb="FF1F3864"/>
        <rFont val="Arial"/>
        <family val="0"/>
        <charset val="1"/>
      </rPr>
      <t xml:space="preserve">90 </t>
    </r>
    <r>
      <rPr>
        <b val="true"/>
        <sz val="10"/>
        <color rgb="FF1F3864"/>
        <rFont val="Noto Sans CJK SC"/>
        <family val="2"/>
      </rPr>
      <t xml:space="preserve">天预期曲线）</t>
    </r>
  </si>
  <si>
    <r>
      <rPr>
        <sz val="10"/>
        <rFont val="Noto Sans CJK SC"/>
        <family val="2"/>
      </rPr>
      <t xml:space="preserve">排名 </t>
    </r>
    <r>
      <rPr>
        <sz val="10"/>
        <rFont val="Arial"/>
        <family val="0"/>
        <charset val="1"/>
      </rPr>
      <t xml:space="preserve">35 </t>
    </r>
    <r>
      <rPr>
        <sz val="10"/>
        <rFont val="Noto Sans CJK SC"/>
        <family val="2"/>
      </rPr>
      <t xml:space="preserve">不变</t>
    </r>
  </si>
  <si>
    <r>
      <rPr>
        <sz val="10"/>
        <rFont val="Noto Sans CJK SC"/>
        <family val="2"/>
      </rPr>
      <t xml:space="preserve">点击 </t>
    </r>
    <r>
      <rPr>
        <sz val="10"/>
        <rFont val="Arial"/>
        <family val="0"/>
        <charset val="1"/>
      </rPr>
      <t xml:space="preserve">~8 </t>
    </r>
    <r>
      <rPr>
        <sz val="10"/>
        <rFont val="Noto Sans CJK SC"/>
        <family val="2"/>
      </rPr>
      <t xml:space="preserve">不变</t>
    </r>
  </si>
  <si>
    <r>
      <rPr>
        <sz val="10"/>
        <rFont val="Noto Sans CJK SC"/>
        <family val="2"/>
      </rPr>
      <t xml:space="preserve">线索 </t>
    </r>
    <r>
      <rPr>
        <sz val="10"/>
        <rFont val="Arial"/>
        <family val="0"/>
        <charset val="1"/>
      </rPr>
      <t xml:space="preserve">2-5/</t>
    </r>
    <r>
      <rPr>
        <sz val="10"/>
        <rFont val="Noto Sans CJK SC"/>
        <family val="2"/>
      </rPr>
      <t xml:space="preserve">月（主要来自 </t>
    </r>
    <r>
      <rPr>
        <sz val="10"/>
        <rFont val="Arial"/>
        <family val="0"/>
        <charset val="1"/>
      </rPr>
      <t xml:space="preserve">GBP</t>
    </r>
    <r>
      <rPr>
        <sz val="10"/>
        <rFont val="Noto Sans CJK SC"/>
        <family val="2"/>
      </rPr>
      <t xml:space="preserve">）</t>
    </r>
  </si>
  <si>
    <t xml:space="preserve">W3-W6</t>
  </si>
  <si>
    <r>
      <rPr>
        <sz val="10"/>
        <rFont val="Noto Sans CJK SC"/>
        <family val="2"/>
      </rPr>
      <t xml:space="preserve">排名 </t>
    </r>
    <r>
      <rPr>
        <sz val="10"/>
        <rFont val="Arial"/>
        <family val="0"/>
        <charset val="1"/>
      </rPr>
      <t xml:space="preserve">26-30</t>
    </r>
  </si>
  <si>
    <r>
      <rPr>
        <sz val="10"/>
        <rFont val="Noto Sans CJK SC"/>
        <family val="2"/>
      </rPr>
      <t xml:space="preserve">点击 </t>
    </r>
    <r>
      <rPr>
        <sz val="10"/>
        <rFont val="Arial"/>
        <family val="0"/>
        <charset val="1"/>
      </rPr>
      <t xml:space="preserve">10-15/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</si>
  <si>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线索 </t>
    </r>
    <r>
      <rPr>
        <sz val="10"/>
        <rFont val="Arial"/>
        <family val="0"/>
        <charset val="1"/>
      </rPr>
      <t xml:space="preserve">4-8/</t>
    </r>
    <r>
      <rPr>
        <sz val="10"/>
        <rFont val="Noto Sans CJK SC"/>
        <family val="2"/>
      </rPr>
      <t xml:space="preserve">月</t>
    </r>
  </si>
  <si>
    <t xml:space="preserve">W6-W10</t>
  </si>
  <si>
    <r>
      <rPr>
        <sz val="10"/>
        <rFont val="Noto Sans CJK SC"/>
        <family val="2"/>
      </rPr>
      <t xml:space="preserve">排名 </t>
    </r>
    <r>
      <rPr>
        <sz val="10"/>
        <rFont val="Arial"/>
        <family val="0"/>
        <charset val="1"/>
      </rPr>
      <t xml:space="preserve">20-24</t>
    </r>
  </si>
  <si>
    <r>
      <rPr>
        <sz val="10"/>
        <rFont val="Noto Sans CJK SC"/>
        <family val="2"/>
      </rPr>
      <t xml:space="preserve">点击 </t>
    </r>
    <r>
      <rPr>
        <sz val="10"/>
        <rFont val="Arial"/>
        <family val="0"/>
        <charset val="1"/>
      </rPr>
      <t xml:space="preserve">20-35/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</si>
  <si>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线索 </t>
    </r>
    <r>
      <rPr>
        <sz val="10"/>
        <rFont val="Arial"/>
        <family val="0"/>
        <charset val="1"/>
      </rPr>
      <t xml:space="preserve">8-18/</t>
    </r>
    <r>
      <rPr>
        <sz val="10"/>
        <rFont val="Noto Sans CJK SC"/>
        <family val="2"/>
      </rPr>
      <t xml:space="preserve">月</t>
    </r>
  </si>
  <si>
    <t xml:space="preserve">W10-W14</t>
  </si>
  <si>
    <r>
      <rPr>
        <sz val="10"/>
        <rFont val="Noto Sans CJK SC"/>
        <family val="2"/>
      </rPr>
      <t xml:space="preserve">排名 </t>
    </r>
    <r>
      <rPr>
        <sz val="10"/>
        <rFont val="Arial"/>
        <family val="0"/>
        <charset val="1"/>
      </rPr>
      <t xml:space="preserve">15-19</t>
    </r>
  </si>
  <si>
    <r>
      <rPr>
        <sz val="10"/>
        <rFont val="Noto Sans CJK SC"/>
        <family val="2"/>
      </rPr>
      <t xml:space="preserve">点击 </t>
    </r>
    <r>
      <rPr>
        <sz val="10"/>
        <rFont val="Arial"/>
        <family val="0"/>
        <charset val="1"/>
      </rPr>
      <t xml:space="preserve">30-50/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</si>
  <si>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线索 </t>
    </r>
    <r>
      <rPr>
        <sz val="10"/>
        <rFont val="Arial"/>
        <family val="0"/>
        <charset val="1"/>
      </rPr>
      <t xml:space="preserve">15-25/</t>
    </r>
    <r>
      <rPr>
        <sz val="10"/>
        <rFont val="Noto Sans CJK SC"/>
        <family val="2"/>
      </rPr>
      <t xml:space="preserve">月</t>
    </r>
  </si>
  <si>
    <t xml:space="preserve">M4-M6</t>
  </si>
  <si>
    <r>
      <rPr>
        <sz val="10"/>
        <rFont val="Noto Sans CJK SC"/>
        <family val="2"/>
      </rPr>
      <t xml:space="preserve">排名 </t>
    </r>
    <r>
      <rPr>
        <sz val="10"/>
        <rFont val="Arial"/>
        <family val="0"/>
        <charset val="1"/>
      </rPr>
      <t xml:space="preserve">10-14</t>
    </r>
  </si>
  <si>
    <r>
      <rPr>
        <sz val="10"/>
        <rFont val="Noto Sans CJK SC"/>
        <family val="2"/>
      </rPr>
      <t xml:space="preserve">点击 </t>
    </r>
    <r>
      <rPr>
        <sz val="10"/>
        <rFont val="Arial"/>
        <family val="0"/>
        <charset val="1"/>
      </rPr>
      <t xml:space="preserve">60-100/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</si>
  <si>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线索 </t>
    </r>
    <r>
      <rPr>
        <sz val="10"/>
        <rFont val="Arial"/>
        <family val="0"/>
        <charset val="1"/>
      </rPr>
      <t xml:space="preserve">25-40/</t>
    </r>
    <r>
      <rPr>
        <sz val="10"/>
        <rFont val="Noto Sans CJK SC"/>
        <family val="2"/>
      </rPr>
      <t xml:space="preserve">月（商业占比 </t>
    </r>
    <r>
      <rPr>
        <sz val="10"/>
        <rFont val="Arial"/>
        <family val="0"/>
        <charset val="1"/>
      </rPr>
      <t xml:space="preserve">40%+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</si>
  <si>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① 品牌 </t>
    </r>
    <r>
      <rPr>
        <b val="true"/>
        <sz val="10"/>
        <color rgb="FF1F3864"/>
        <rFont val="Arial"/>
        <family val="0"/>
        <charset val="1"/>
      </rPr>
      <t xml:space="preserve">vs </t>
    </r>
    <r>
      <rPr>
        <b val="true"/>
        <sz val="10"/>
        <color rgb="FF1F3864"/>
        <rFont val="Noto Sans CJK SC"/>
        <family val="2"/>
      </rPr>
      <t xml:space="preserve">非品牌拆分（</t>
    </r>
    <r>
      <rPr>
        <b val="true"/>
        <sz val="10"/>
        <color rgb="FF1F3864"/>
        <rFont val="Arial"/>
        <family val="0"/>
        <charset val="1"/>
      </rPr>
      <t xml:space="preserve">GSC 7/28 </t>
    </r>
    <r>
      <rPr>
        <b val="true"/>
        <sz val="10"/>
        <color rgb="FF1F3864"/>
        <rFont val="Noto Sans CJK SC"/>
        <family val="2"/>
      </rPr>
      <t xml:space="preserve">导出，</t>
    </r>
    <r>
      <rPr>
        <b val="true"/>
        <sz val="10"/>
        <color rgb="FF1F3864"/>
        <rFont val="Arial"/>
        <family val="0"/>
        <charset val="1"/>
      </rPr>
      <t xml:space="preserve">441 </t>
    </r>
    <r>
      <rPr>
        <b val="true"/>
        <sz val="10"/>
        <color rgb="FF1F3864"/>
        <rFont val="Noto Sans CJK SC"/>
        <family val="2"/>
      </rPr>
      <t xml:space="preserve">个查询）</t>
    </r>
  </si>
  <si>
    <t xml:space="preserve">切片</t>
  </si>
  <si>
    <r>
      <rPr>
        <b val="true"/>
        <sz val="10"/>
        <rFont val="Noto Sans CJK SC"/>
        <family val="2"/>
      </rPr>
      <t xml:space="preserve">点击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展示</t>
    </r>
  </si>
  <si>
    <r>
      <rPr>
        <b val="true"/>
        <sz val="10"/>
        <rFont val="Arial"/>
        <family val="0"/>
        <charset val="1"/>
      </rPr>
      <t xml:space="preserve">CTR / </t>
    </r>
    <r>
      <rPr>
        <b val="true"/>
        <sz val="10"/>
        <rFont val="Noto Sans CJK SC"/>
        <family val="2"/>
      </rPr>
      <t xml:space="preserve">加权平均排名</t>
    </r>
  </si>
  <si>
    <t xml:space="preserve">说明</t>
  </si>
  <si>
    <r>
      <rPr>
        <sz val="10"/>
        <rFont val="Noto Sans CJK SC"/>
        <family val="2"/>
      </rPr>
      <t xml:space="preserve">全部（</t>
    </r>
    <r>
      <rPr>
        <sz val="10"/>
        <rFont val="Arial"/>
        <family val="0"/>
        <charset val="1"/>
      </rPr>
      <t xml:space="preserve">GSC </t>
    </r>
    <r>
      <rPr>
        <sz val="10"/>
        <rFont val="Noto Sans CJK SC"/>
        <family val="2"/>
      </rPr>
      <t xml:space="preserve">面板默认看到的）</t>
    </r>
  </si>
  <si>
    <t xml:space="preserve">20 / 3,581</t>
  </si>
  <si>
    <t xml:space="preserve">0.559% / 34.30</t>
  </si>
  <si>
    <t xml:space="preserve">被品牌词严重拉高</t>
  </si>
  <si>
    <r>
      <rPr>
        <sz val="10"/>
        <rFont val="Noto Sans CJK SC"/>
        <family val="2"/>
      </rPr>
      <t xml:space="preserve">品牌词（含 </t>
    </r>
    <r>
      <rPr>
        <sz val="10"/>
        <rFont val="Arial"/>
        <family val="0"/>
        <charset val="1"/>
      </rPr>
      <t xml:space="preserve">nouvelle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个查询）</t>
    </r>
  </si>
  <si>
    <t xml:space="preserve">16 / 116</t>
  </si>
  <si>
    <t xml:space="preserve">13.79% / 4.60</t>
  </si>
  <si>
    <r>
      <rPr>
        <sz val="10"/>
        <rFont val="Arial"/>
        <family val="0"/>
        <charset val="1"/>
      </rPr>
      <t xml:space="preserve">nouvelle workz 12/63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nouvelle workz pte ltd 4/22</t>
    </r>
  </si>
  <si>
    <r>
      <rPr>
        <sz val="10"/>
        <rFont val="Noto Sans CJK SC"/>
        <family val="2"/>
      </rPr>
      <t xml:space="preserve">非品牌词（</t>
    </r>
    <r>
      <rPr>
        <sz val="10"/>
        <rFont val="Arial"/>
        <family val="0"/>
        <charset val="1"/>
      </rPr>
      <t xml:space="preserve">435 </t>
    </r>
    <r>
      <rPr>
        <sz val="10"/>
        <rFont val="Noto Sans CJK SC"/>
        <family val="2"/>
      </rPr>
      <t xml:space="preserve">个查询）</t>
    </r>
  </si>
  <si>
    <t xml:space="preserve">4 / 3,465</t>
  </si>
  <si>
    <t xml:space="preserve">0.115% / 35.30</t>
  </si>
  <si>
    <r>
      <rPr>
        <sz val="10"/>
        <rFont val="Noto Sans CJK SC"/>
        <family val="2"/>
      </rPr>
      <t xml:space="preserve">真正的 </t>
    </r>
    <r>
      <rPr>
        <sz val="10"/>
        <rFont val="Arial"/>
        <family val="0"/>
        <charset val="1"/>
      </rPr>
      <t xml:space="preserve">SEO </t>
    </r>
    <r>
      <rPr>
        <sz val="10"/>
        <rFont val="Noto Sans CJK SC"/>
        <family val="2"/>
      </rPr>
      <t xml:space="preserve">战场</t>
    </r>
  </si>
  <si>
    <r>
      <rPr>
        <b val="true"/>
        <sz val="10"/>
        <rFont val="Noto Sans CJK SC"/>
        <family val="2"/>
      </rPr>
      <t xml:space="preserve">→ 行业基准：位置 </t>
    </r>
    <r>
      <rPr>
        <b val="true"/>
        <sz val="10"/>
        <rFont val="Arial"/>
        <family val="0"/>
        <charset val="1"/>
      </rPr>
      <t xml:space="preserve">31-40</t>
    </r>
  </si>
  <si>
    <t xml:space="preserve">0.05% - 0.3%</t>
  </si>
  <si>
    <r>
      <rPr>
        <b val="true"/>
        <sz val="10"/>
        <rFont val="Arial"/>
        <family val="0"/>
        <charset val="1"/>
      </rPr>
      <t xml:space="preserve">seoClarity </t>
    </r>
    <r>
      <rPr>
        <b val="true"/>
        <sz val="10"/>
        <rFont val="Noto Sans CJK SC"/>
        <family val="2"/>
      </rPr>
      <t xml:space="preserve">基于 </t>
    </r>
    <r>
      <rPr>
        <b val="true"/>
        <sz val="10"/>
        <rFont val="Arial"/>
        <family val="0"/>
        <charset val="1"/>
      </rPr>
      <t xml:space="preserve">7,500 </t>
    </r>
    <r>
      <rPr>
        <b val="true"/>
        <sz val="10"/>
        <rFont val="Noto Sans CJK SC"/>
        <family val="2"/>
      </rPr>
      <t xml:space="preserve">亿次曝光。你的 </t>
    </r>
    <r>
      <rPr>
        <b val="true"/>
        <sz val="10"/>
        <rFont val="Arial"/>
        <family val="0"/>
        <charset val="1"/>
      </rPr>
      <t xml:space="preserve">0.115% </t>
    </r>
    <r>
      <rPr>
        <b val="true"/>
        <sz val="10"/>
        <rFont val="Noto Sans CJK SC"/>
        <family val="2"/>
      </rPr>
      <t xml:space="preserve">正好在基准内 → 标题优化边际收益接近零</t>
    </r>
  </si>
  <si>
    <r>
      <rPr>
        <sz val="10"/>
        <rFont val="Noto Sans CJK SC"/>
        <family val="2"/>
      </rPr>
      <t xml:space="preserve">商业意图查询（</t>
    </r>
    <r>
      <rPr>
        <sz val="10"/>
        <rFont val="Arial"/>
        <family val="0"/>
        <charset val="1"/>
      </rPr>
      <t xml:space="preserve">97 </t>
    </r>
    <r>
      <rPr>
        <sz val="10"/>
        <rFont val="Noto Sans CJK SC"/>
        <family val="2"/>
      </rPr>
      <t xml:space="preserve">个）</t>
    </r>
  </si>
  <si>
    <t xml:space="preserve">1 / 958</t>
  </si>
  <si>
    <t xml:space="preserve">0.104% / 41.43</t>
  </si>
  <si>
    <t xml:space="preserve">office/commercial/reinstat/warehouse/shop/retail/fit-out</t>
  </si>
  <si>
    <r>
      <rPr>
        <sz val="10"/>
        <rFont val="Noto Sans CJK SC"/>
        <family val="2"/>
      </rPr>
      <t xml:space="preserve">住宅及其他（</t>
    </r>
    <r>
      <rPr>
        <sz val="10"/>
        <rFont val="Arial"/>
        <family val="0"/>
        <charset val="1"/>
      </rPr>
      <t xml:space="preserve">338 </t>
    </r>
    <r>
      <rPr>
        <sz val="10"/>
        <rFont val="Noto Sans CJK SC"/>
        <family val="2"/>
      </rPr>
      <t xml:space="preserve">个）</t>
    </r>
  </si>
  <si>
    <t xml:space="preserve">3 / 2,507</t>
  </si>
  <si>
    <t xml:space="preserve">0.120% / 32.95</t>
  </si>
  <si>
    <r>
      <rPr>
        <b val="true"/>
        <sz val="10"/>
        <color rgb="FF1F3864"/>
        <rFont val="Noto Sans CJK SC"/>
        <family val="2"/>
      </rPr>
      <t xml:space="preserve">② 排名趋势（</t>
    </r>
    <r>
      <rPr>
        <b val="true"/>
        <sz val="10"/>
        <color rgb="FF1F3864"/>
        <rFont val="Arial"/>
        <family val="0"/>
        <charset val="1"/>
      </rPr>
      <t xml:space="preserve">7 </t>
    </r>
    <r>
      <rPr>
        <b val="true"/>
        <sz val="10"/>
        <color rgb="FF1F3864"/>
        <rFont val="Noto Sans CJK SC"/>
        <family val="2"/>
      </rPr>
      <t xml:space="preserve">月，展示加权）</t>
    </r>
  </si>
  <si>
    <t xml:space="preserve">日期</t>
  </si>
  <si>
    <t xml:space="preserve">展示</t>
  </si>
  <si>
    <t xml:space="preserve">点击</t>
  </si>
  <si>
    <t xml:space="preserve">平均排名</t>
  </si>
  <si>
    <t xml:space="preserve">2026-07-01</t>
  </si>
  <si>
    <t xml:space="preserve">277</t>
  </si>
  <si>
    <t xml:space="preserve">2</t>
  </si>
  <si>
    <t xml:space="preserve">44.8</t>
  </si>
  <si>
    <t xml:space="preserve">2026-07-06</t>
  </si>
  <si>
    <t xml:space="preserve">357</t>
  </si>
  <si>
    <t xml:space="preserve">7</t>
  </si>
  <si>
    <t xml:space="preserve">45.0</t>
  </si>
  <si>
    <t xml:space="preserve">2026-07-13</t>
  </si>
  <si>
    <t xml:space="preserve">358</t>
  </si>
  <si>
    <t xml:space="preserve">37.5</t>
  </si>
  <si>
    <t xml:space="preserve">2026-07-18</t>
  </si>
  <si>
    <t xml:space="preserve">391</t>
  </si>
  <si>
    <t xml:space="preserve">5</t>
  </si>
  <si>
    <t xml:space="preserve">32.4</t>
  </si>
  <si>
    <t xml:space="preserve">2026-07-21</t>
  </si>
  <si>
    <t xml:space="preserve">810</t>
  </si>
  <si>
    <t xml:space="preserve">10</t>
  </si>
  <si>
    <t xml:space="preserve">30.1</t>
  </si>
  <si>
    <t xml:space="preserve">2026-07-25</t>
  </si>
  <si>
    <t xml:space="preserve">683</t>
  </si>
  <si>
    <t xml:space="preserve">9</t>
  </si>
  <si>
    <t xml:space="preserve">25.2</t>
  </si>
  <si>
    <r>
      <rPr>
        <b val="true"/>
        <sz val="10"/>
        <rFont val="Arial"/>
        <family val="0"/>
        <charset val="1"/>
      </rPr>
      <t xml:space="preserve">25 </t>
    </r>
    <r>
      <rPr>
        <b val="true"/>
        <sz val="10"/>
        <rFont val="Noto Sans CJK SC"/>
        <family val="2"/>
      </rPr>
      <t xml:space="preserve">天变化</t>
    </r>
  </si>
  <si>
    <t xml:space="preserve">+147%</t>
  </si>
  <si>
    <t xml:space="preserve">持平</t>
  </si>
  <si>
    <r>
      <rPr>
        <b val="true"/>
        <sz val="10"/>
        <rFont val="Arial"/>
        <family val="0"/>
        <charset val="1"/>
      </rPr>
      <t xml:space="preserve">44.8 → 25.2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-19.6 </t>
    </r>
    <r>
      <rPr>
        <b val="true"/>
        <sz val="10"/>
        <rFont val="Noto Sans CJK SC"/>
        <family val="2"/>
      </rPr>
      <t xml:space="preserve">位）</t>
    </r>
  </si>
  <si>
    <t xml:space="preserve">③ 设备维度</t>
  </si>
  <si>
    <t xml:space="preserve">设备</t>
  </si>
  <si>
    <t xml:space="preserve">CTR</t>
  </si>
  <si>
    <t xml:space="preserve">移动设备</t>
  </si>
  <si>
    <t xml:space="preserve">26 / 762</t>
  </si>
  <si>
    <t xml:space="preserve">3.41%</t>
  </si>
  <si>
    <r>
      <rPr>
        <sz val="10"/>
        <rFont val="Arial"/>
        <family val="0"/>
        <charset val="1"/>
      </rPr>
      <t xml:space="preserve">10.73  ← </t>
    </r>
    <r>
      <rPr>
        <sz val="10"/>
        <rFont val="Noto Sans CJK SC"/>
        <family val="2"/>
      </rPr>
      <t xml:space="preserve">唯一接近点击悬崖</t>
    </r>
  </si>
  <si>
    <t xml:space="preserve">桌面</t>
  </si>
  <si>
    <t xml:space="preserve">27 / 3,866</t>
  </si>
  <si>
    <t xml:space="preserve">0.70%</t>
  </si>
  <si>
    <t xml:space="preserve">31.73</t>
  </si>
  <si>
    <t xml:space="preserve">平板</t>
  </si>
  <si>
    <t xml:space="preserve">0 / 31</t>
  </si>
  <si>
    <t xml:space="preserve">0.00%</t>
  </si>
  <si>
    <t xml:space="preserve">30.81</t>
  </si>
  <si>
    <r>
      <rPr>
        <b val="true"/>
        <sz val="10"/>
        <rFont val="Noto Sans CJK SC"/>
        <family val="2"/>
      </rPr>
      <t xml:space="preserve">→ 而全站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个 </t>
    </r>
    <r>
      <rPr>
        <b val="true"/>
        <sz val="10"/>
        <rFont val="Arial"/>
        <family val="0"/>
        <charset val="1"/>
      </rPr>
      <t xml:space="preserve">URL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个 </t>
    </r>
    <r>
      <rPr>
        <b val="true"/>
        <sz val="10"/>
        <rFont val="Arial"/>
        <family val="0"/>
        <charset val="1"/>
      </rPr>
      <t xml:space="preserve">tel: </t>
    </r>
    <r>
      <rPr>
        <b val="true"/>
        <sz val="10"/>
        <rFont val="Noto Sans CJK SC"/>
        <family val="2"/>
      </rPr>
      <t xml:space="preserve">链接</t>
    </r>
  </si>
  <si>
    <t xml:space="preserve">移动端用户看到号码但无法一键拨号</t>
  </si>
  <si>
    <r>
      <rPr>
        <b val="true"/>
        <sz val="10"/>
        <color rgb="FF1F3864"/>
        <rFont val="Noto Sans CJK SC"/>
        <family val="2"/>
      </rPr>
      <t xml:space="preserve">④ 国家维度（</t>
    </r>
    <r>
      <rPr>
        <b val="true"/>
        <sz val="10"/>
        <color rgb="FF1F3864"/>
        <rFont val="Arial"/>
        <family val="0"/>
        <charset val="1"/>
      </rPr>
      <t xml:space="preserve">7 </t>
    </r>
    <r>
      <rPr>
        <b val="true"/>
        <sz val="10"/>
        <color rgb="FF1F3864"/>
        <rFont val="Noto Sans CJK SC"/>
        <family val="2"/>
      </rPr>
      <t xml:space="preserve">天）</t>
    </r>
  </si>
  <si>
    <t xml:space="preserve">国家</t>
  </si>
  <si>
    <t xml:space="preserve">新加坡</t>
  </si>
  <si>
    <t xml:space="preserve">45 / 4,387</t>
  </si>
  <si>
    <t xml:space="preserve">1.03%</t>
  </si>
  <si>
    <t xml:space="preserve">28.95</t>
  </si>
  <si>
    <t xml:space="preserve">马来西亚</t>
  </si>
  <si>
    <t xml:space="preserve">7 / 43</t>
  </si>
  <si>
    <t xml:space="preserve">16.28%</t>
  </si>
  <si>
    <t xml:space="preserve">12.05</t>
  </si>
  <si>
    <t xml:space="preserve">印度尼西亚</t>
  </si>
  <si>
    <t xml:space="preserve">1 / 11</t>
  </si>
  <si>
    <t xml:space="preserve">9.09%</t>
  </si>
  <si>
    <t xml:space="preserve">13.91</t>
  </si>
  <si>
    <t xml:space="preserve">美国</t>
  </si>
  <si>
    <t xml:space="preserve">0 / 67</t>
  </si>
  <si>
    <r>
      <rPr>
        <sz val="10"/>
        <rFont val="Arial"/>
        <family val="0"/>
        <charset val="1"/>
      </rPr>
      <t xml:space="preserve">13.94  ← bathroom remodel </t>
    </r>
    <r>
      <rPr>
        <sz val="10"/>
        <rFont val="Noto Sans CJK SC"/>
        <family val="2"/>
      </rPr>
      <t xml:space="preserve">美式变体来源</t>
    </r>
  </si>
  <si>
    <t xml:space="preserve">越南</t>
  </si>
  <si>
    <t xml:space="preserve">0 / 27</t>
  </si>
  <si>
    <t xml:space="preserve">24.56</t>
  </si>
  <si>
    <t xml:space="preserve">印度</t>
  </si>
  <si>
    <t xml:space="preserve">0 / 20</t>
  </si>
  <si>
    <t xml:space="preserve">26.15</t>
  </si>
  <si>
    <r>
      <rPr>
        <b val="true"/>
        <sz val="10"/>
        <color rgb="FF1F3864"/>
        <rFont val="Noto Sans CJK SC"/>
        <family val="2"/>
      </rPr>
      <t xml:space="preserve">⑤ 索引健康（</t>
    </r>
    <r>
      <rPr>
        <b val="true"/>
        <sz val="10"/>
        <color rgb="FF1F3864"/>
        <rFont val="Arial"/>
        <family val="0"/>
        <charset val="1"/>
      </rPr>
      <t xml:space="preserve">GSC Coverage 6/26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</si>
  <si>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页数</t>
  </si>
  <si>
    <t xml:space="preserve">占比</t>
  </si>
  <si>
    <t xml:space="preserve">含义</t>
  </si>
  <si>
    <t xml:space="preserve">已编入索引</t>
  </si>
  <si>
    <t xml:space="preserve">47.5%</t>
  </si>
  <si>
    <t xml:space="preserve">未编入索引</t>
  </si>
  <si>
    <t xml:space="preserve">63</t>
  </si>
  <si>
    <t xml:space="preserve">52.5%</t>
  </si>
  <si>
    <t xml:space="preserve">　已抓取 – 尚未编入索引</t>
  </si>
  <si>
    <t xml:space="preserve">42</t>
  </si>
  <si>
    <r>
      <rPr>
        <sz val="10"/>
        <rFont val="Arial"/>
        <family val="0"/>
        <charset val="1"/>
      </rPr>
      <t xml:space="preserve">⚠ Google </t>
    </r>
    <r>
      <rPr>
        <sz val="10"/>
        <rFont val="Noto Sans CJK SC"/>
        <family val="2"/>
      </rPr>
      <t xml:space="preserve">判定内容价值不足 —— 直接影响新内容收录速度</t>
    </r>
  </si>
  <si>
    <t xml:space="preserve">　已发现 – 尚未编入索引</t>
  </si>
  <si>
    <t xml:space="preserve">25</t>
  </si>
  <si>
    <t xml:space="preserve">爬取预算不足</t>
  </si>
  <si>
    <r>
      <rPr>
        <sz val="10"/>
        <rFont val="Noto Sans CJK SC"/>
        <family val="2"/>
      </rPr>
      <t xml:space="preserve">　未找到 </t>
    </r>
    <r>
      <rPr>
        <sz val="10"/>
        <rFont val="Arial"/>
        <family val="0"/>
        <charset val="1"/>
      </rPr>
      <t xml:space="preserve">404</t>
    </r>
  </si>
  <si>
    <t xml:space="preserve">23</t>
  </si>
  <si>
    <t xml:space="preserve">　网页会自动重定向</t>
  </si>
  <si>
    <t xml:space="preserve">30</t>
  </si>
  <si>
    <r>
      <rPr>
        <sz val="10"/>
        <rFont val="Noto Sans CJK SC"/>
        <family val="2"/>
      </rPr>
      <t xml:space="preserve">　被 </t>
    </r>
    <r>
      <rPr>
        <sz val="10"/>
        <rFont val="Arial"/>
        <family val="0"/>
        <charset val="1"/>
      </rPr>
      <t xml:space="preserve">noindex </t>
    </r>
    <r>
      <rPr>
        <sz val="10"/>
        <rFont val="Noto Sans CJK SC"/>
        <family val="2"/>
      </rPr>
      <t xml:space="preserve">排除</t>
    </r>
  </si>
  <si>
    <t xml:space="preserve">6</t>
  </si>
  <si>
    <r>
      <rPr>
        <sz val="10"/>
        <rFont val="Noto Sans CJK SC"/>
        <family val="2"/>
      </rPr>
      <t xml:space="preserve">　被 </t>
    </r>
    <r>
      <rPr>
        <sz val="10"/>
        <rFont val="Arial"/>
        <family val="0"/>
        <charset val="1"/>
      </rPr>
      <t xml:space="preserve">robots.txt </t>
    </r>
    <r>
      <rPr>
        <sz val="10"/>
        <rFont val="Noto Sans CJK SC"/>
        <family val="2"/>
      </rPr>
      <t xml:space="preserve">屏蔽</t>
    </r>
  </si>
  <si>
    <t xml:space="preserve">1</t>
  </si>
  <si>
    <r>
      <rPr>
        <b val="true"/>
        <sz val="10"/>
        <color rgb="FF1F3864"/>
        <rFont val="Arial"/>
        <family val="0"/>
        <charset val="1"/>
      </rPr>
      <t xml:space="preserve">⑥ Screaming Frog </t>
    </r>
    <r>
      <rPr>
        <b val="true"/>
        <sz val="10"/>
        <color rgb="FF1F3864"/>
        <rFont val="Noto Sans CJK SC"/>
        <family val="2"/>
      </rPr>
      <t xml:space="preserve">抓取（</t>
    </r>
    <r>
      <rPr>
        <b val="true"/>
        <sz val="10"/>
        <color rgb="FF1F3864"/>
        <rFont val="Arial"/>
        <family val="0"/>
        <charset val="1"/>
      </rPr>
      <t xml:space="preserve">489 URL</t>
    </r>
    <r>
      <rPr>
        <b val="true"/>
        <sz val="10"/>
        <color rgb="FF1F3864"/>
        <rFont val="Noto Sans CJK SC"/>
        <family val="2"/>
      </rPr>
      <t xml:space="preserve">，</t>
    </r>
    <r>
      <rPr>
        <b val="true"/>
        <sz val="10"/>
        <color rgb="FF1F3864"/>
        <rFont val="Arial"/>
        <family val="0"/>
        <charset val="1"/>
      </rPr>
      <t xml:space="preserve">6 </t>
    </r>
    <r>
      <rPr>
        <b val="true"/>
        <sz val="10"/>
        <color rgb="FF1F3864"/>
        <rFont val="Noto Sans CJK SC"/>
        <family val="2"/>
      </rPr>
      <t xml:space="preserve">月快照）</t>
    </r>
  </si>
  <si>
    <t xml:space="preserve">指标</t>
  </si>
  <si>
    <t xml:space="preserve">数值</t>
  </si>
  <si>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页面总数</t>
    </r>
  </si>
  <si>
    <t xml:space="preserve">179</t>
  </si>
  <si>
    <r>
      <rPr>
        <sz val="10"/>
        <rFont val="Noto Sans CJK SC"/>
        <family val="2"/>
      </rPr>
      <t xml:space="preserve">其中可索引 </t>
    </r>
    <r>
      <rPr>
        <sz val="10"/>
        <rFont val="Arial"/>
        <family val="0"/>
        <charset val="1"/>
      </rPr>
      <t xml:space="preserve">200</t>
    </r>
  </si>
  <si>
    <t xml:space="preserve">61</t>
  </si>
  <si>
    <t xml:space="preserve">34%</t>
  </si>
  <si>
    <t xml:space="preserve">其中重定向（非可索引）</t>
  </si>
  <si>
    <t xml:space="preserve">118</t>
  </si>
  <si>
    <t xml:space="preserve">66%</t>
  </si>
  <si>
    <r>
      <rPr>
        <sz val="10"/>
        <rFont val="Arial"/>
        <family val="0"/>
        <charset val="1"/>
      </rPr>
      <t xml:space="preserve">70 × 302</t>
    </r>
    <r>
      <rPr>
        <sz val="10"/>
        <rFont val="Noto Sans CJK SC"/>
        <family val="2"/>
      </rPr>
      <t xml:space="preserve">（主体是图片附件页）</t>
    </r>
    <r>
      <rPr>
        <sz val="10"/>
        <rFont val="Arial"/>
        <family val="0"/>
        <charset val="1"/>
      </rPr>
      <t xml:space="preserve">+ 48 × 301</t>
    </r>
  </si>
  <si>
    <r>
      <rPr>
        <sz val="10"/>
        <rFont val="Noto Sans CJK SC"/>
        <family val="2"/>
      </rPr>
      <t xml:space="preserve">可索引页中 </t>
    </r>
    <r>
      <rPr>
        <sz val="10"/>
        <rFont val="Arial"/>
        <family val="0"/>
        <charset val="1"/>
      </rPr>
      <t xml:space="preserve">&lt; 300 </t>
    </r>
    <r>
      <rPr>
        <sz val="10"/>
        <rFont val="Noto Sans CJK SC"/>
        <family val="2"/>
      </rPr>
      <t xml:space="preserve">字</t>
    </r>
  </si>
  <si>
    <t xml:space="preserve">38</t>
  </si>
  <si>
    <t xml:space="preserve">62%</t>
  </si>
  <si>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epoxy grout </t>
    </r>
    <r>
      <rPr>
        <sz val="10"/>
        <rFont val="Noto Sans CJK SC"/>
        <family val="2"/>
      </rPr>
      <t xml:space="preserve">产品页</t>
    </r>
    <r>
      <rPr>
        <sz val="10"/>
        <rFont val="Arial"/>
        <family val="0"/>
        <charset val="1"/>
      </rPr>
      <t xml:space="preserve">(159</t>
    </r>
    <r>
      <rPr>
        <sz val="10"/>
        <rFont val="Noto Sans CJK SC"/>
        <family val="2"/>
      </rPr>
      <t xml:space="preserve">字</t>
    </r>
    <r>
      <rPr>
        <sz val="10"/>
        <rFont val="Arial"/>
        <family val="0"/>
        <charset val="1"/>
      </rPr>
      <t xml:space="preserve">) + 3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product-category + 12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portfolio(77-89</t>
    </r>
    <r>
      <rPr>
        <sz val="10"/>
        <rFont val="Noto Sans CJK SC"/>
        <family val="2"/>
      </rPr>
      <t xml:space="preserve">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</si>
  <si>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可索引页中 </t>
    </r>
    <r>
      <rPr>
        <sz val="10"/>
        <rFont val="Arial"/>
        <family val="0"/>
        <charset val="1"/>
      </rPr>
      <t xml:space="preserve">&gt; 1000 </t>
    </r>
    <r>
      <rPr>
        <sz val="10"/>
        <rFont val="Noto Sans CJK SC"/>
        <family val="2"/>
      </rPr>
      <t xml:space="preserve">字</t>
    </r>
  </si>
  <si>
    <t xml:space="preserve">3</t>
  </si>
  <si>
    <t xml:space="preserve">5%</t>
  </si>
  <si>
    <r>
      <rPr>
        <sz val="10"/>
        <rFont val="Noto Sans CJK SC"/>
        <family val="2"/>
      </rPr>
      <t xml:space="preserve">首页 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体积 </t>
    </r>
    <r>
      <rPr>
        <sz val="10"/>
        <rFont val="Arial"/>
        <family val="0"/>
        <charset val="1"/>
      </rPr>
      <t xml:space="preserve">/ JS </t>
    </r>
    <r>
      <rPr>
        <sz val="10"/>
        <rFont val="Noto Sans CJK SC"/>
        <family val="2"/>
      </rPr>
      <t xml:space="preserve">文件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请求数</t>
    </r>
  </si>
  <si>
    <t xml:space="preserve">595 KB / 127 / 243</t>
  </si>
  <si>
    <r>
      <rPr>
        <sz val="10"/>
        <rFont val="Arial"/>
        <family val="0"/>
        <charset val="1"/>
      </rPr>
      <t xml:space="preserve">⚠ CWV </t>
    </r>
    <r>
      <rPr>
        <sz val="10"/>
        <rFont val="Noto Sans CJK SC"/>
        <family val="2"/>
      </rPr>
      <t xml:space="preserve">风险。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容器带 </t>
    </r>
    <r>
      <rPr>
        <sz val="10"/>
        <rFont val="Arial"/>
        <family val="0"/>
        <charset val="1"/>
      </rPr>
      <t xml:space="preserve">elementor-invisible + fadeIn → LCP </t>
    </r>
    <r>
      <rPr>
        <sz val="10"/>
        <rFont val="Noto Sans CJK SC"/>
        <family val="2"/>
      </rPr>
      <t xml:space="preserve">等 </t>
    </r>
    <r>
      <rPr>
        <sz val="10"/>
        <rFont val="Arial"/>
        <family val="0"/>
        <charset val="1"/>
      </rPr>
      <t xml:space="preserve">JS</t>
    </r>
  </si>
  <si>
    <r>
      <rPr>
        <b val="true"/>
        <sz val="10"/>
        <color rgb="FF1F3864"/>
        <rFont val="Noto Sans CJK SC"/>
        <family val="2"/>
      </rPr>
      <t xml:space="preserve">⑦ 展示量最高的页面（</t>
    </r>
    <r>
      <rPr>
        <b val="true"/>
        <sz val="10"/>
        <color rgb="FF1F3864"/>
        <rFont val="Arial"/>
        <family val="0"/>
        <charset val="1"/>
      </rPr>
      <t xml:space="preserve">GSC 7/28</t>
    </r>
    <r>
      <rPr>
        <b val="true"/>
        <sz val="10"/>
        <color rgb="FF1F3864"/>
        <rFont val="Noto Sans CJK SC"/>
        <family val="2"/>
      </rPr>
      <t xml:space="preserve">，</t>
    </r>
    <r>
      <rPr>
        <b val="true"/>
        <sz val="10"/>
        <color rgb="FF1F3864"/>
        <rFont val="Arial"/>
        <family val="0"/>
        <charset val="1"/>
      </rPr>
      <t xml:space="preserve">7 </t>
    </r>
    <r>
      <rPr>
        <b val="true"/>
        <sz val="10"/>
        <color rgb="FF1F3864"/>
        <rFont val="Noto Sans CJK SC"/>
        <family val="2"/>
      </rPr>
      <t xml:space="preserve">天）</t>
    </r>
  </si>
  <si>
    <t xml:space="preserve">页面</t>
  </si>
  <si>
    <r>
      <rPr>
        <b val="true"/>
        <sz val="10"/>
        <rFont val="Noto Sans CJK SC"/>
        <family val="2"/>
      </rPr>
      <t xml:space="preserve">点击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排名</t>
    </r>
  </si>
  <si>
    <t xml:space="preserve">问题</t>
  </si>
  <si>
    <t xml:space="preserve">1,058</t>
  </si>
  <si>
    <t xml:space="preserve">1 / 23.59</t>
  </si>
  <si>
    <r>
      <rPr>
        <sz val="10"/>
        <rFont val="Noto Sans CJK SC"/>
        <family val="2"/>
      </rPr>
      <t xml:space="preserve">⚠ 全站 </t>
    </r>
    <r>
      <rPr>
        <sz val="10"/>
        <rFont val="Arial"/>
        <family val="0"/>
        <charset val="1"/>
      </rPr>
      <t xml:space="preserve">24% </t>
    </r>
    <r>
      <rPr>
        <sz val="10"/>
        <rFont val="Noto Sans CJK SC"/>
        <family val="2"/>
      </rPr>
      <t xml:space="preserve">的展示，但只有 </t>
    </r>
    <r>
      <rPr>
        <sz val="10"/>
        <rFont val="Arial"/>
        <family val="0"/>
        <charset val="1"/>
      </rPr>
      <t xml:space="preserve">450 </t>
    </r>
    <r>
      <rPr>
        <sz val="10"/>
        <rFont val="Noto Sans CJK SC"/>
        <family val="2"/>
      </rPr>
      <t xml:space="preserve">字、无 </t>
    </r>
    <r>
      <rPr>
        <sz val="10"/>
        <rFont val="Arial"/>
        <family val="0"/>
        <charset val="1"/>
      </rPr>
      <t xml:space="preserve">FAQ </t>
    </r>
    <r>
      <rPr>
        <sz val="10"/>
        <rFont val="Noto Sans CJK SC"/>
        <family val="2"/>
      </rPr>
      <t xml:space="preserve">无价格表、正文内链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条、页内无表单，且一页同打 </t>
    </r>
    <r>
      <rPr>
        <sz val="10"/>
        <rFont val="Arial"/>
        <family val="0"/>
        <charset val="1"/>
      </rPr>
      <t xml:space="preserve">bathroom+plumbing </t>
    </r>
    <r>
      <rPr>
        <sz val="10"/>
        <rFont val="Noto Sans CJK SC"/>
        <family val="2"/>
      </rPr>
      <t xml:space="preserve">两个意图</t>
    </r>
  </si>
  <si>
    <t xml:space="preserve">505</t>
  </si>
  <si>
    <t xml:space="preserve">6 / 32.23</t>
  </si>
  <si>
    <r>
      <rPr>
        <sz val="10"/>
        <rFont val="Arial"/>
        <family val="0"/>
        <charset val="1"/>
      </rPr>
      <t xml:space="preserve">1,850 </t>
    </r>
    <r>
      <rPr>
        <sz val="10"/>
        <rFont val="Noto Sans CJK SC"/>
        <family val="2"/>
      </rPr>
      <t xml:space="preserve">字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完整价格表，但 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Title </t>
    </r>
    <r>
      <rPr>
        <sz val="10"/>
        <rFont val="Noto Sans CJK SC"/>
        <family val="2"/>
      </rPr>
      <t xml:space="preserve">原样照抄含管道符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品牌名</t>
    </r>
  </si>
  <si>
    <t xml:space="preserve">459</t>
  </si>
  <si>
    <t xml:space="preserve">1 / 43.47</t>
  </si>
  <si>
    <r>
      <rPr>
        <sz val="10"/>
        <rFont val="Arial"/>
        <family val="0"/>
        <charset val="1"/>
      </rPr>
      <t xml:space="preserve">1,100 </t>
    </r>
    <r>
      <rPr>
        <sz val="10"/>
        <rFont val="Noto Sans CJK SC"/>
        <family val="2"/>
      </rPr>
      <t xml:space="preserve">字，</t>
    </r>
    <r>
      <rPr>
        <sz val="10"/>
        <rFont val="Arial"/>
        <family val="0"/>
        <charset val="1"/>
      </rPr>
      <t xml:space="preserve">FAQ </t>
    </r>
    <r>
      <rPr>
        <sz val="10"/>
        <rFont val="Noto Sans CJK SC"/>
        <family val="2"/>
      </rPr>
      <t xml:space="preserve">有重复问题，正文内链仅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条，无真实案例叙述</t>
    </r>
  </si>
  <si>
    <t xml:space="preserve">410</t>
  </si>
  <si>
    <t xml:space="preserve">0 / 37.70</t>
  </si>
  <si>
    <r>
      <rPr>
        <sz val="10"/>
        <rFont val="Arial"/>
        <family val="0"/>
        <charset val="1"/>
      </rPr>
      <t xml:space="preserve">850 </t>
    </r>
    <r>
      <rPr>
        <sz val="10"/>
        <rFont val="Noto Sans CJK SC"/>
        <family val="2"/>
      </rPr>
      <t xml:space="preserve">字 </t>
    </r>
    <r>
      <rPr>
        <sz val="10"/>
        <rFont val="Arial"/>
        <family val="0"/>
        <charset val="1"/>
      </rPr>
      <t xml:space="preserve">+ 3 </t>
    </r>
    <r>
      <rPr>
        <sz val="10"/>
        <rFont val="Noto Sans CJK SC"/>
        <family val="2"/>
      </rPr>
      <t xml:space="preserve">行价格表 </t>
    </r>
    <r>
      <rPr>
        <sz val="10"/>
        <rFont val="Arial"/>
        <family val="0"/>
        <charset val="1"/>
      </rPr>
      <t xml:space="preserve">+ 4 </t>
    </r>
    <r>
      <rPr>
        <sz val="10"/>
        <rFont val="Noto Sans CJK SC"/>
        <family val="2"/>
      </rPr>
      <t xml:space="preserve">问 </t>
    </r>
    <r>
      <rPr>
        <sz val="10"/>
        <rFont val="Arial"/>
        <family val="0"/>
        <charset val="1"/>
      </rPr>
      <t xml:space="preserve">FAQ</t>
    </r>
    <r>
      <rPr>
        <sz val="10"/>
        <rFont val="Noto Sans CJK SC"/>
        <family val="2"/>
      </rPr>
      <t xml:space="preserve">，但正文内链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条</t>
    </r>
  </si>
  <si>
    <t xml:space="preserve">/commercial/commercial-renovation/</t>
  </si>
  <si>
    <t xml:space="preserve">333</t>
  </si>
  <si>
    <t xml:space="preserve">1 / 44.48</t>
  </si>
  <si>
    <r>
      <rPr>
        <sz val="10"/>
        <rFont val="Arial"/>
        <family val="0"/>
        <charset val="1"/>
      </rPr>
      <t xml:space="preserve">1,200 </t>
    </r>
    <r>
      <rPr>
        <sz val="10"/>
        <rFont val="Noto Sans CJK SC"/>
        <family val="2"/>
      </rPr>
      <t xml:space="preserve">字，全站内链最好的一页（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条），但 </t>
    </r>
    <r>
      <rPr>
        <sz val="10"/>
        <rFont val="Arial"/>
        <family val="0"/>
        <charset val="1"/>
      </rPr>
      <t xml:space="preserve">meta description </t>
    </r>
    <r>
      <rPr>
        <sz val="10"/>
        <rFont val="Noto Sans CJK SC"/>
        <family val="2"/>
      </rPr>
      <t xml:space="preserve">缺失</t>
    </r>
  </si>
  <si>
    <t xml:space="preserve">/sintered-stone-vs-quartz-countertop-singapore/</t>
  </si>
  <si>
    <t xml:space="preserve">289</t>
  </si>
  <si>
    <t xml:space="preserve">4 / 26.26</t>
  </si>
  <si>
    <t xml:space="preserve">/hdb-electrical-rewiring-options-cost-permit/</t>
  </si>
  <si>
    <t xml:space="preserve">271</t>
  </si>
  <si>
    <t xml:space="preserve">3 / 13.89</t>
  </si>
  <si>
    <r>
      <rPr>
        <sz val="10"/>
        <rFont val="Noto Sans CJK SC"/>
        <family val="2"/>
      </rPr>
      <t xml:space="preserve">已在位置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，接近突破</t>
    </r>
  </si>
  <si>
    <t xml:space="preserve">/hdb-plumbing-guide-common-vs-internal-leaks/</t>
  </si>
  <si>
    <t xml:space="preserve">171</t>
  </si>
  <si>
    <t xml:space="preserve">3 / 7.32</t>
  </si>
  <si>
    <r>
      <rPr>
        <sz val="10"/>
        <rFont val="Noto Sans CJK SC"/>
        <family val="2"/>
      </rPr>
      <t xml:space="preserve">✓ 已在位置 </t>
    </r>
    <r>
      <rPr>
        <sz val="10"/>
        <rFont val="Arial"/>
        <family val="0"/>
        <charset val="1"/>
      </rPr>
      <t xml:space="preserve">7 —— </t>
    </r>
    <r>
      <rPr>
        <sz val="10"/>
        <rFont val="Noto Sans CJK SC"/>
        <family val="2"/>
      </rPr>
      <t xml:space="preserve">应作为 </t>
    </r>
    <r>
      <rPr>
        <sz val="10"/>
        <rFont val="Arial"/>
        <family val="0"/>
        <charset val="1"/>
      </rPr>
      <t xml:space="preserve">bathroom </t>
    </r>
    <r>
      <rPr>
        <sz val="10"/>
        <rFont val="Noto Sans CJK SC"/>
        <family val="2"/>
      </rPr>
      <t xml:space="preserve">簇的内链来源</t>
    </r>
  </si>
  <si>
    <t xml:space="preserve">/</t>
  </si>
  <si>
    <t xml:space="preserve">151</t>
  </si>
  <si>
    <t xml:space="preserve">24 / 3.59</t>
  </si>
  <si>
    <t xml:space="preserve">主要是品牌词流量</t>
  </si>
  <si>
    <t xml:space="preserve">133</t>
  </si>
  <si>
    <t xml:space="preserve">1 / 21.56</t>
  </si>
  <si>
    <r>
      <rPr>
        <sz val="10"/>
        <rFont val="Noto Sans CJK SC"/>
        <family val="2"/>
      </rPr>
      <t xml:space="preserve">✓ 全站最接近突破的商业页。</t>
    </r>
    <r>
      <rPr>
        <sz val="10"/>
        <rFont val="Arial"/>
        <family val="0"/>
        <charset val="1"/>
      </rPr>
      <t xml:space="preserve">2,100 </t>
    </r>
    <r>
      <rPr>
        <sz val="10"/>
        <rFont val="Noto Sans CJK SC"/>
        <family val="2"/>
      </rPr>
      <t xml:space="preserve">字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详细分项报价。但 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是「</t>
    </r>
    <r>
      <rPr>
        <sz val="10"/>
        <rFont val="Arial"/>
        <family val="0"/>
        <charset val="1"/>
      </rPr>
      <t xml:space="preserve">How to Avoid Landlord Disputes</t>
    </r>
    <r>
      <rPr>
        <sz val="10"/>
        <rFont val="Noto Sans CJK SC"/>
        <family val="2"/>
      </rPr>
      <t xml:space="preserve">」</t>
    </r>
  </si>
  <si>
    <r>
      <rPr>
        <b val="true"/>
        <sz val="10"/>
        <color rgb="FF1F3864"/>
        <rFont val="Arial"/>
        <family val="0"/>
        <charset val="1"/>
      </rPr>
      <t xml:space="preserve">⑧ Google Business Profile </t>
    </r>
    <r>
      <rPr>
        <b val="true"/>
        <sz val="10"/>
        <color rgb="FF1F3864"/>
        <rFont val="Noto Sans CJK SC"/>
        <family val="2"/>
      </rPr>
      <t xml:space="preserve">实测（</t>
    </r>
    <r>
      <rPr>
        <b val="true"/>
        <sz val="10"/>
        <color rgb="FF1F3864"/>
        <rFont val="Arial"/>
        <family val="0"/>
        <charset val="1"/>
      </rPr>
      <t xml:space="preserve">CID 488568669718849683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</si>
  <si>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项目</t>
  </si>
  <si>
    <t xml:space="preserve">现状</t>
  </si>
  <si>
    <t xml:space="preserve">评估</t>
  </si>
  <si>
    <r>
      <rPr>
        <sz val="10"/>
        <rFont val="Noto Sans CJK SC"/>
        <family val="2"/>
      </rPr>
      <t xml:space="preserve">评分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评论数</t>
    </r>
  </si>
  <si>
    <r>
      <rPr>
        <sz val="10"/>
        <rFont val="Arial"/>
        <family val="0"/>
        <charset val="1"/>
      </rPr>
      <t xml:space="preserve">5.0★ / 75 </t>
    </r>
    <r>
      <rPr>
        <sz val="10"/>
        <rFont val="Noto Sans CJK SC"/>
        <family val="2"/>
      </rPr>
      <t xml:space="preserve">条</t>
    </r>
  </si>
  <si>
    <t xml:space="preserve">✓ 强资产</t>
  </si>
  <si>
    <r>
      <rPr>
        <sz val="10"/>
        <rFont val="Arial"/>
        <family val="0"/>
        <charset val="1"/>
      </rPr>
      <t xml:space="preserve">75 </t>
    </r>
    <r>
      <rPr>
        <sz val="10"/>
        <rFont val="Noto Sans CJK SC"/>
        <family val="2"/>
      </rPr>
      <t xml:space="preserve">条全在五星栏。真实姓名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照片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你的回复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最近一条一个月前。</t>
    </r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抽取关键词：</t>
    </r>
    <r>
      <rPr>
        <sz val="10"/>
        <rFont val="Arial"/>
        <family val="0"/>
        <charset val="1"/>
      </rPr>
      <t xml:space="preserve">renovation×35 / carpentry×10 / prompt replies×10 / epoxy flooring×5</t>
    </r>
  </si>
  <si>
    <t xml:space="preserve">主分类</t>
  </si>
  <si>
    <t xml:space="preserve">Contractor</t>
  </si>
  <si>
    <t xml:space="preserve">❌ 过于宽泛</t>
  </si>
  <si>
    <r>
      <rPr>
        <sz val="10"/>
        <rFont val="Noto Sans CJK SC"/>
        <family val="2"/>
      </rPr>
      <t xml:space="preserve">无任何 </t>
    </r>
    <r>
      <rPr>
        <sz val="10"/>
        <rFont val="Arial"/>
        <family val="0"/>
        <charset val="1"/>
      </rPr>
      <t xml:space="preserve">reinstatement </t>
    </r>
    <r>
      <rPr>
        <sz val="10"/>
        <rFont val="Noto Sans CJK SC"/>
        <family val="2"/>
      </rPr>
      <t xml:space="preserve">相关性。本地包赢家用 </t>
    </r>
    <r>
      <rPr>
        <sz val="10"/>
        <rFont val="Arial"/>
        <family val="0"/>
        <charset val="1"/>
      </rPr>
      <t xml:space="preserve">Building restoration service</t>
    </r>
  </si>
  <si>
    <t xml:space="preserve">次分类</t>
  </si>
  <si>
    <t xml:space="preserve">未见</t>
  </si>
  <si>
    <t xml:space="preserve">❌ 缺失</t>
  </si>
  <si>
    <r>
      <rPr>
        <sz val="10"/>
        <rFont val="Arial"/>
        <family val="0"/>
        <charset val="1"/>
      </rPr>
      <t xml:space="preserve">GBP </t>
    </r>
    <r>
      <rPr>
        <sz val="10"/>
        <rFont val="Noto Sans CJK SC"/>
        <family val="2"/>
      </rPr>
      <t xml:space="preserve">允许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</si>
  <si>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Services </t>
    </r>
    <r>
      <rPr>
        <sz val="10"/>
        <rFont val="Noto Sans CJK SC"/>
        <family val="2"/>
      </rPr>
      <t xml:space="preserve">列表</t>
    </r>
  </si>
  <si>
    <t xml:space="preserve">未填</t>
  </si>
  <si>
    <t xml:space="preserve">❌ 完全空白</t>
  </si>
  <si>
    <t xml:space="preserve">这是你输给零评论对手的直接原因之一</t>
  </si>
  <si>
    <r>
      <rPr>
        <sz val="10"/>
        <rFont val="Noto Sans CJK SC"/>
        <family val="2"/>
      </rPr>
      <t xml:space="preserve">属性 </t>
    </r>
    <r>
      <rPr>
        <sz val="10"/>
        <rFont val="Arial"/>
        <family val="0"/>
        <charset val="1"/>
      </rPr>
      <t xml:space="preserve">Attributes</t>
    </r>
  </si>
  <si>
    <t xml:space="preserve">一个都没开</t>
  </si>
  <si>
    <r>
      <rPr>
        <sz val="10"/>
        <rFont val="Noto Sans CJK SC"/>
        <family val="2"/>
      </rPr>
      <t xml:space="preserve">本地包赢家显示 </t>
    </r>
    <r>
      <rPr>
        <sz val="10"/>
        <rFont val="Arial"/>
        <family val="0"/>
        <charset val="1"/>
      </rPr>
      <t xml:space="preserve">On-site services · Online appointments</t>
    </r>
  </si>
  <si>
    <t xml:space="preserve">服务区域</t>
  </si>
  <si>
    <t xml:space="preserve">未设</t>
  </si>
  <si>
    <t xml:space="preserve">纯门店地址型列表</t>
  </si>
  <si>
    <t xml:space="preserve">Posts</t>
  </si>
  <si>
    <r>
      <rPr>
        <sz val="10"/>
        <rFont val="Noto Sans CJK SC"/>
        <family val="2"/>
      </rPr>
      <t xml:space="preserve">最近 </t>
    </r>
    <r>
      <rPr>
        <sz val="10"/>
        <rFont val="Arial"/>
        <family val="0"/>
        <charset val="1"/>
      </rPr>
      <t xml:space="preserve">6/10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4/30</t>
    </r>
  </si>
  <si>
    <t xml:space="preserve">⚠ 已断</t>
  </si>
  <si>
    <r>
      <rPr>
        <sz val="10"/>
        <rFont val="Noto Sans CJK SC"/>
        <family val="2"/>
      </rPr>
      <t xml:space="preserve">应恢复每周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条</t>
    </r>
  </si>
  <si>
    <t xml:space="preserve">照片</t>
  </si>
  <si>
    <r>
      <rPr>
        <sz val="10"/>
        <rFont val="Noto Sans CJK SC"/>
        <family val="2"/>
      </rPr>
      <t xml:space="preserve">最近 </t>
    </r>
    <r>
      <rPr>
        <sz val="10"/>
        <rFont val="Arial"/>
        <family val="0"/>
        <charset val="1"/>
      </rPr>
      <t xml:space="preserve">27 </t>
    </r>
    <r>
      <rPr>
        <sz val="10"/>
        <rFont val="Noto Sans CJK SC"/>
        <family val="2"/>
      </rPr>
      <t xml:space="preserve">天前</t>
    </r>
  </si>
  <si>
    <r>
      <rPr>
        <sz val="10"/>
        <rFont val="Noto Sans CJK SC"/>
        <family val="2"/>
      </rPr>
      <t xml:space="preserve">应每周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张</t>
    </r>
  </si>
  <si>
    <r>
      <rPr>
        <sz val="10"/>
        <rFont val="Noto Sans CJK SC"/>
        <family val="2"/>
      </rPr>
      <t xml:space="preserve">本地包位置（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个核心词）</t>
    </r>
  </si>
  <si>
    <t xml:space="preserve">全部未出现</t>
  </si>
  <si>
    <r>
      <rPr>
        <sz val="10"/>
        <rFont val="Arial"/>
        <family val="0"/>
        <charset val="1"/>
      </rPr>
      <t xml:space="preserve">❌ 0 </t>
    </r>
    <r>
      <rPr>
        <sz val="10"/>
        <rFont val="Noto Sans CJK SC"/>
        <family val="2"/>
      </rPr>
      <t xml:space="preserve">曝光</t>
    </r>
  </si>
  <si>
    <r>
      <rPr>
        <sz val="10"/>
        <rFont val="Noto Sans CJK SC"/>
        <family val="2"/>
      </rPr>
      <t xml:space="preserve">赢家：</t>
    </r>
    <r>
      <rPr>
        <sz val="10"/>
        <rFont val="Arial"/>
        <family val="0"/>
        <charset val="1"/>
      </rPr>
      <t xml:space="preserve">office reinstatement = No reviews + 1.0★(1)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warehouse reinstatement = 3 </t>
    </r>
    <r>
      <rPr>
        <sz val="10"/>
        <rFont val="Noto Sans CJK SC"/>
        <family val="2"/>
      </rPr>
      <t xml:space="preserve">家全 </t>
    </r>
    <r>
      <rPr>
        <sz val="10"/>
        <rFont val="Arial"/>
        <family val="0"/>
        <charset val="1"/>
      </rPr>
      <t xml:space="preserve">No reviews</t>
    </r>
  </si>
  <si>
    <r>
      <rPr>
        <sz val="10"/>
        <rFont val="Noto Sans CJK SC"/>
        <family val="2"/>
      </rPr>
      <t xml:space="preserve">品牌 </t>
    </r>
    <r>
      <rPr>
        <sz val="10"/>
        <rFont val="Arial"/>
        <family val="0"/>
        <charset val="1"/>
      </rPr>
      <t xml:space="preserve">SERP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位</t>
    </r>
  </si>
  <si>
    <t xml:space="preserve">✓ 自己的网站</t>
  </si>
  <si>
    <t xml:space="preserve">✓ 正常</t>
  </si>
  <si>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sitelinks</t>
    </r>
    <r>
      <rPr>
        <sz val="10"/>
        <rFont val="Noto Sans CJK SC"/>
        <family val="2"/>
      </rPr>
      <t xml:space="preserve">。之后是 </t>
    </r>
    <r>
      <rPr>
        <sz val="10"/>
        <rFont val="Arial"/>
        <family val="0"/>
        <charset val="1"/>
      </rPr>
      <t xml:space="preserve">FB / IG / sgpbusiness / recordowl</t>
    </r>
    <r>
      <rPr>
        <sz val="10"/>
        <rFont val="Noto Sans CJK SC"/>
        <family val="2"/>
      </rPr>
      <t xml:space="preserve">，无威胁</t>
    </r>
  </si>
  <si>
    <r>
      <rPr>
        <b val="true"/>
        <sz val="10"/>
        <color rgb="FF1F3864"/>
        <rFont val="Noto Sans CJK SC"/>
        <family val="2"/>
      </rPr>
      <t xml:space="preserve">⑨ 竞争度评分（</t>
    </r>
    <r>
      <rPr>
        <b val="true"/>
        <sz val="10"/>
        <color rgb="FF1F3864"/>
        <rFont val="Arial"/>
        <family val="0"/>
        <charset val="1"/>
      </rPr>
      <t xml:space="preserve">google.com.sg </t>
    </r>
    <r>
      <rPr>
        <b val="true"/>
        <sz val="10"/>
        <color rgb="FF1F3864"/>
        <rFont val="Noto Sans CJK SC"/>
        <family val="2"/>
      </rPr>
      <t xml:space="preserve">实测 </t>
    </r>
    <r>
      <rPr>
        <b val="true"/>
        <sz val="10"/>
        <color rgb="FF1F3864"/>
        <rFont val="Arial"/>
        <family val="0"/>
        <charset val="1"/>
      </rPr>
      <t xml:space="preserve">SERP</t>
    </r>
    <r>
      <rPr>
        <b val="true"/>
        <sz val="10"/>
        <color rgb="FF1F3864"/>
        <rFont val="Noto Sans CJK SC"/>
        <family val="2"/>
      </rPr>
      <t xml:space="preserve">，</t>
    </r>
    <r>
      <rPr>
        <b val="true"/>
        <sz val="10"/>
        <color rgb="FF1F3864"/>
        <rFont val="Arial"/>
        <family val="0"/>
        <charset val="1"/>
      </rPr>
      <t xml:space="preserve">2026-07-30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</si>
  <si>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线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细分</t>
    </r>
  </si>
  <si>
    <t xml:space="preserve">依据</t>
  </si>
  <si>
    <r>
      <rPr>
        <sz val="10"/>
        <rFont val="Noto Sans CJK SC"/>
        <family val="2"/>
      </rPr>
      <t xml:space="preserve">商业线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建筑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园区落地页</t>
    </r>
  </si>
  <si>
    <t xml:space="preserve">9/10</t>
  </si>
  <si>
    <t xml:space="preserve">最高杠杆</t>
  </si>
  <si>
    <r>
      <rPr>
        <sz val="10"/>
        <rFont val="Arial"/>
        <family val="0"/>
        <charset val="1"/>
      </rPr>
      <t xml:space="preserve">om-decor.com/sunteccitytower </t>
    </r>
    <r>
      <rPr>
        <sz val="10"/>
        <rFont val="Noto Sans CJK SC"/>
        <family val="2"/>
      </rPr>
      <t xml:space="preserve">排第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Paya Lebar Quarter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Ubi MacPherson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SERP 6/10 </t>
    </r>
    <r>
      <rPr>
        <sz val="10"/>
        <rFont val="Noto Sans CJK SC"/>
        <family val="2"/>
      </rPr>
      <t xml:space="preserve">结果带 </t>
    </r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Missing:</t>
    </r>
    <r>
      <rPr>
        <sz val="10"/>
        <rFont val="Noto Sans CJK SC"/>
        <family val="2"/>
      </rPr>
      <t xml:space="preserve">」标注</t>
    </r>
  </si>
  <si>
    <r>
      <rPr>
        <sz val="10"/>
        <rFont val="Noto Sans CJK SC"/>
        <family val="2"/>
      </rPr>
      <t xml:space="preserve">商业线 </t>
    </r>
    <r>
      <rPr>
        <sz val="10"/>
        <rFont val="Arial"/>
        <family val="0"/>
        <charset val="1"/>
      </rPr>
      <t xml:space="preserve">· warehouse / shop reinstatement</t>
    </r>
  </si>
  <si>
    <t xml:space="preserve">8/10</t>
  </si>
  <si>
    <t xml:space="preserve">高信心</t>
  </si>
  <si>
    <r>
      <rPr>
        <sz val="10"/>
        <rFont val="Arial"/>
        <family val="0"/>
        <charset val="1"/>
      </rPr>
      <t xml:space="preserve">host crowding + </t>
    </r>
    <r>
      <rPr>
        <sz val="10"/>
        <rFont val="Noto Sans CJK SC"/>
        <family val="2"/>
      </rPr>
      <t xml:space="preserve">本地包全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评论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无关站在凑数</t>
    </r>
  </si>
  <si>
    <r>
      <rPr>
        <sz val="10"/>
        <rFont val="Noto Sans CJK SC"/>
        <family val="2"/>
      </rPr>
      <t xml:space="preserve">商业线 </t>
    </r>
    <r>
      <rPr>
        <sz val="10"/>
        <rFont val="Arial"/>
        <family val="0"/>
        <charset val="1"/>
      </rPr>
      <t xml:space="preserve">· GBP </t>
    </r>
    <r>
      <rPr>
        <sz val="10"/>
        <rFont val="Noto Sans CJK SC"/>
        <family val="2"/>
      </rPr>
      <t xml:space="preserve">本地包</t>
    </r>
  </si>
  <si>
    <r>
      <rPr>
        <sz val="10"/>
        <rFont val="Noto Sans CJK SC"/>
        <family val="2"/>
      </rPr>
      <t xml:space="preserve">对手是 </t>
    </r>
    <r>
      <rPr>
        <sz val="10"/>
        <rFont val="Arial"/>
        <family val="0"/>
        <charset val="1"/>
      </rPr>
      <t xml:space="preserve">No reviews </t>
    </r>
    <r>
      <rPr>
        <sz val="10"/>
        <rFont val="Noto Sans CJK SC"/>
        <family val="2"/>
      </rPr>
      <t xml:space="preserve">和 </t>
    </r>
    <r>
      <rPr>
        <sz val="10"/>
        <rFont val="Arial"/>
        <family val="0"/>
        <charset val="1"/>
      </rPr>
      <t xml:space="preserve">1.0★</t>
    </r>
    <r>
      <rPr>
        <sz val="10"/>
        <rFont val="Noto Sans CJK SC"/>
        <family val="2"/>
      </rPr>
      <t xml:space="preserve">，你有 </t>
    </r>
    <r>
      <rPr>
        <sz val="10"/>
        <rFont val="Arial"/>
        <family val="0"/>
        <charset val="1"/>
      </rPr>
      <t xml:space="preserve">5.0★/75</t>
    </r>
  </si>
  <si>
    <r>
      <rPr>
        <sz val="10"/>
        <rFont val="Noto Sans CJK SC"/>
        <family val="2"/>
      </rPr>
      <t xml:space="preserve">商业线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合规长尾</t>
    </r>
  </si>
  <si>
    <t xml:space="preserve">可做</t>
  </si>
  <si>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帖和 </t>
    </r>
    <r>
      <rPr>
        <sz val="10"/>
        <rFont val="Arial"/>
        <family val="0"/>
        <charset val="1"/>
      </rPr>
      <t xml:space="preserve">Facebook </t>
    </r>
    <r>
      <rPr>
        <sz val="10"/>
        <rFont val="Noto Sans CJK SC"/>
        <family val="2"/>
      </rPr>
      <t xml:space="preserve">帖在排名，严重主题漂移</t>
    </r>
  </si>
  <si>
    <r>
      <rPr>
        <sz val="10"/>
        <rFont val="Noto Sans CJK SC"/>
        <family val="2"/>
      </rPr>
      <t xml:space="preserve">商业线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成本指南</t>
    </r>
  </si>
  <si>
    <t xml:space="preserve">6/10</t>
  </si>
  <si>
    <t xml:space="preserve">现实</t>
  </si>
  <si>
    <r>
      <rPr>
        <sz val="10"/>
        <rFont val="Noto Sans CJK SC"/>
        <family val="2"/>
      </rPr>
      <t xml:space="preserve">无本地包无 </t>
    </r>
    <r>
      <rPr>
        <sz val="10"/>
        <rFont val="Arial"/>
        <family val="0"/>
        <charset val="1"/>
      </rPr>
      <t xml:space="preserve">AIO</t>
    </r>
    <r>
      <rPr>
        <sz val="10"/>
        <rFont val="Noto Sans CJK SC"/>
        <family val="2"/>
      </rPr>
      <t xml:space="preserve">，但 </t>
    </r>
    <r>
      <rPr>
        <sz val="10"/>
        <rFont val="Arial"/>
        <family val="0"/>
        <charset val="1"/>
      </rPr>
      <t xml:space="preserve">Cushman &amp; Wakefield </t>
    </r>
    <r>
      <rPr>
        <sz val="10"/>
        <rFont val="Noto Sans CJK SC"/>
        <family val="2"/>
      </rPr>
      <t xml:space="preserve">在场且 </t>
    </r>
    <r>
      <rPr>
        <sz val="10"/>
        <rFont val="Arial"/>
        <family val="0"/>
        <charset val="1"/>
      </rPr>
      <t xml:space="preserve">EMD </t>
    </r>
    <r>
      <rPr>
        <sz val="10"/>
        <rFont val="Noto Sans CJK SC"/>
        <family val="2"/>
      </rPr>
      <t xml:space="preserve">在增多</t>
    </r>
  </si>
  <si>
    <r>
      <rPr>
        <sz val="10"/>
        <rFont val="Noto Sans CJK SC"/>
        <family val="2"/>
      </rPr>
      <t xml:space="preserve">商业线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总体</t>
    </r>
  </si>
  <si>
    <t xml:space="preserve">主攻</t>
  </si>
  <si>
    <r>
      <rPr>
        <sz val="10"/>
        <rFont val="Noto Sans CJK SC"/>
        <family val="2"/>
      </rPr>
      <t xml:space="preserve">该 </t>
    </r>
    <r>
      <rPr>
        <sz val="10"/>
        <rFont val="Arial"/>
        <family val="0"/>
        <charset val="1"/>
      </rPr>
      <t xml:space="preserve">SERP </t>
    </r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个位置里：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个目录站、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BCA/SCDF/URA</t>
    </r>
    <r>
      <rPr>
        <sz val="10"/>
        <rFont val="Noto Sans CJK SC"/>
        <family val="2"/>
      </rPr>
      <t xml:space="preserve">、仅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个政府结果、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个论坛块、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LinkedIn → </t>
    </r>
    <r>
      <rPr>
        <sz val="10"/>
        <rFont val="Noto Sans CJK SC"/>
        <family val="2"/>
      </rPr>
      <t xml:space="preserve">零外链可行</t>
    </r>
  </si>
  <si>
    <r>
      <rPr>
        <sz val="10"/>
        <rFont val="Noto Sans CJK SC"/>
        <family val="2"/>
      </rPr>
      <t xml:space="preserve">住宅线 </t>
    </r>
    <r>
      <rPr>
        <sz val="10"/>
        <rFont val="Arial"/>
        <family val="0"/>
        <charset val="1"/>
      </rPr>
      <t xml:space="preserve">· Tier1 </t>
    </r>
    <r>
      <rPr>
        <sz val="10"/>
        <rFont val="Noto Sans CJK SC"/>
        <family val="2"/>
      </rPr>
      <t xml:space="preserve">真空长尾</t>
    </r>
  </si>
  <si>
    <t xml:space="preserve">可摘桃</t>
  </si>
  <si>
    <r>
      <rPr>
        <sz val="10"/>
        <rFont val="Noto Sans CJK SC"/>
        <family val="2"/>
      </rPr>
      <t xml:space="preserve">首页有 </t>
    </r>
    <r>
      <rPr>
        <sz val="10"/>
        <rFont val="Arial"/>
        <family val="0"/>
        <charset val="1"/>
      </rPr>
      <t xml:space="preserve">PDF / </t>
    </r>
    <r>
      <rPr>
        <sz val="10"/>
        <rFont val="Noto Sans CJK SC"/>
        <family val="2"/>
      </rPr>
      <t xml:space="preserve">论坛帖 </t>
    </r>
    <r>
      <rPr>
        <sz val="10"/>
        <rFont val="Arial"/>
        <family val="0"/>
        <charset val="1"/>
      </rPr>
      <t xml:space="preserve">/ MCST </t>
    </r>
    <r>
      <rPr>
        <sz val="10"/>
        <rFont val="Noto Sans CJK SC"/>
        <family val="2"/>
      </rPr>
      <t xml:space="preserve">表单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无关零售商</t>
    </r>
  </si>
  <si>
    <r>
      <rPr>
        <sz val="10"/>
        <rFont val="Noto Sans CJK SC"/>
        <family val="2"/>
      </rPr>
      <t xml:space="preserve">住宅线 </t>
    </r>
    <r>
      <rPr>
        <sz val="10"/>
        <rFont val="Arial"/>
        <family val="0"/>
        <charset val="1"/>
      </rPr>
      <t xml:space="preserve">· Tier2 </t>
    </r>
    <r>
      <rPr>
        <sz val="10"/>
        <rFont val="Noto Sans CJK SC"/>
        <family val="2"/>
      </rPr>
      <t xml:space="preserve">软长尾</t>
    </r>
  </si>
  <si>
    <t xml:space="preserve">5/10</t>
  </si>
  <si>
    <t xml:space="preserve">次选</t>
  </si>
  <si>
    <r>
      <rPr>
        <sz val="10"/>
        <rFont val="Arial"/>
        <family val="0"/>
        <charset val="1"/>
      </rPr>
      <t xml:space="preserve">incumbents </t>
    </r>
    <r>
      <rPr>
        <sz val="10"/>
        <rFont val="Noto Sans CJK SC"/>
        <family val="2"/>
      </rPr>
      <t xml:space="preserve">是有主题权威的邻近工种</t>
    </r>
  </si>
  <si>
    <r>
      <rPr>
        <sz val="10"/>
        <rFont val="Noto Sans CJK SC"/>
        <family val="2"/>
      </rPr>
      <t xml:space="preserve">住宅线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头部词</t>
    </r>
  </si>
  <si>
    <t xml:space="preserve">1/10</t>
  </si>
  <si>
    <r>
      <rPr>
        <sz val="10"/>
        <rFont val="Arial"/>
        <family val="0"/>
        <charset val="1"/>
      </rPr>
      <t xml:space="preserve">Qanvast / MoneySmart / SingSaver / Seedly / PropertyGuru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DR70+ </t>
    </r>
    <r>
      <rPr>
        <sz val="10"/>
        <rFont val="Noto Sans CJK SC"/>
        <family val="2"/>
      </rPr>
      <t xml:space="preserve">靠装修贷款变现）</t>
    </r>
    <r>
      <rPr>
        <sz val="10"/>
        <rFont val="Arial"/>
        <family val="0"/>
        <charset val="1"/>
      </rPr>
      <t xml:space="preserve">+ RCS ~330 </t>
    </r>
    <r>
      <rPr>
        <sz val="10"/>
        <rFont val="Noto Sans CJK SC"/>
        <family val="2"/>
      </rPr>
      <t xml:space="preserve">篇文章 </t>
    </r>
    <r>
      <rPr>
        <sz val="10"/>
        <rFont val="Arial"/>
        <family val="0"/>
        <charset val="1"/>
      </rPr>
      <t xml:space="preserve">+ fixmove.sg </t>
    </r>
    <r>
      <rPr>
        <sz val="10"/>
        <rFont val="Noto Sans CJK SC"/>
        <family val="2"/>
      </rPr>
      <t xml:space="preserve">地区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服务程序化矩阵</t>
    </r>
  </si>
  <si>
    <r>
      <rPr>
        <sz val="10"/>
        <rFont val="Noto Sans CJK SC"/>
        <family val="2"/>
      </rPr>
      <t xml:space="preserve">住宅线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总体</t>
    </r>
  </si>
  <si>
    <t xml:space="preserve">3/10</t>
  </si>
  <si>
    <t xml:space="preserve">降级为维持</t>
  </si>
  <si>
    <r>
      <rPr>
        <sz val="10"/>
        <rFont val="Noto Sans CJK SC"/>
        <family val="2"/>
      </rPr>
      <t xml:space="preserve">你缺的正是入场券：无外链预算、无 </t>
    </r>
    <r>
      <rPr>
        <sz val="10"/>
        <rFont val="Arial"/>
        <family val="0"/>
        <charset val="1"/>
      </rPr>
      <t xml:space="preserve">Qanvast/</t>
    </r>
    <r>
      <rPr>
        <sz val="10"/>
        <rFont val="Noto Sans CJK SC"/>
        <family val="2"/>
      </rPr>
      <t xml:space="preserve">目录准入</t>
    </r>
  </si>
  <si>
    <t xml:space="preserve">⚠ 时间窗</t>
  </si>
  <si>
    <t xml:space="preserve">正在关闭</t>
  </si>
  <si>
    <r>
      <rPr>
        <sz val="10"/>
        <rFont val="Arial"/>
        <family val="0"/>
        <charset val="1"/>
      </rPr>
      <t xml:space="preserve">volm.sg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天前」</t>
    </r>
    <r>
      <rPr>
        <sz val="10"/>
        <rFont val="Arial"/>
        <family val="0"/>
        <charset val="1"/>
      </rPr>
      <t xml:space="preserve">/ jm-sons.com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天前」</t>
    </r>
    <r>
      <rPr>
        <sz val="10"/>
        <rFont val="Arial"/>
        <family val="0"/>
        <charset val="1"/>
      </rPr>
      <t xml:space="preserve">/ bsmengg.com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天前」</t>
    </r>
    <r>
      <rPr>
        <sz val="10"/>
        <rFont val="Arial"/>
        <family val="0"/>
        <charset val="1"/>
      </rPr>
      <t xml:space="preserve">/ officereinstatementsingapore.com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天前」；至少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个新 </t>
    </r>
    <r>
      <rPr>
        <sz val="10"/>
        <rFont val="Arial"/>
        <family val="0"/>
        <charset val="1"/>
      </rPr>
      <t xml:space="preserve">EMD </t>
    </r>
    <r>
      <rPr>
        <sz val="10"/>
        <rFont val="Noto Sans CJK SC"/>
        <family val="2"/>
      </rPr>
      <t xml:space="preserve">已上线：</t>
    </r>
    <r>
      <rPr>
        <sz val="10"/>
        <rFont val="Arial"/>
        <family val="0"/>
        <charset val="1"/>
      </rPr>
      <t xml:space="preserve">reinstate.sg / reinstatementsg.com / reinstatementworks.com.sg / reinstatementservices.sg / reinstatementsingapore.com / commercialrenovation.sg</t>
    </r>
  </si>
  <si>
    <t xml:space="preserve">⑩ 数据来源与未取到的数据</t>
  </si>
  <si>
    <t xml:space="preserve">来源</t>
  </si>
  <si>
    <r>
      <rPr>
        <sz val="10"/>
        <rFont val="Arial"/>
        <family val="0"/>
        <charset val="1"/>
      </rPr>
      <t xml:space="preserve">GSC Performance </t>
    </r>
    <r>
      <rPr>
        <sz val="10"/>
        <rFont val="Noto Sans CJK SC"/>
        <family val="2"/>
      </rPr>
      <t xml:space="preserve">导出（</t>
    </r>
    <r>
      <rPr>
        <sz val="10"/>
        <rFont val="Arial"/>
        <family val="0"/>
        <charset val="1"/>
      </rPr>
      <t xml:space="preserve">06-23/06-26/07-02/07-09/07-20/07-24/07-28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GSC Coverage + Crawl Stats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06-26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Screaming Frog internal_all.csv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489 URL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月）</t>
    </r>
    <r>
      <rPr>
        <sz val="10"/>
        <rFont val="Arial"/>
        <family val="0"/>
        <charset val="1"/>
      </rPr>
      <t xml:space="preserve">· Google Ads Keyword Planner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2026-05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Organic Content Intelligence </t>
    </r>
    <r>
      <rPr>
        <sz val="10"/>
        <rFont val="Noto Sans CJK SC"/>
        <family val="2"/>
      </rPr>
      <t xml:space="preserve">报告 </t>
    </r>
    <r>
      <rPr>
        <sz val="10"/>
        <rFont val="Arial"/>
        <family val="0"/>
        <charset val="1"/>
      </rPr>
      <t xml:space="preserve">· google.com.sg </t>
    </r>
    <r>
      <rPr>
        <sz val="10"/>
        <rFont val="Noto Sans CJK SC"/>
        <family val="2"/>
      </rPr>
      <t xml:space="preserve">实测 </t>
    </r>
    <r>
      <rPr>
        <sz val="10"/>
        <rFont val="Arial"/>
        <family val="0"/>
        <charset val="1"/>
      </rPr>
      <t xml:space="preserve">SERP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07-30</t>
    </r>
    <r>
      <rPr>
        <sz val="10"/>
        <rFont val="Noto Sans CJK SC"/>
        <family val="2"/>
      </rPr>
      <t xml:space="preserve">，含本地包</t>
    </r>
    <r>
      <rPr>
        <sz val="10"/>
        <rFont val="Arial"/>
        <family val="0"/>
        <charset val="1"/>
      </rPr>
      <t xml:space="preserve">/AIO/PAA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GBP </t>
    </r>
    <r>
      <rPr>
        <sz val="10"/>
        <rFont val="Noto Sans CJK SC"/>
        <family val="2"/>
      </rPr>
      <t xml:space="preserve">实测（</t>
    </r>
    <r>
      <rPr>
        <sz val="10"/>
        <rFont val="Arial"/>
        <family val="0"/>
        <charset val="1"/>
      </rPr>
      <t xml:space="preserve">CID 488568669718849683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 nouvelleworkz.com </t>
    </r>
    <r>
      <rPr>
        <sz val="10"/>
        <rFont val="Noto Sans CJK SC"/>
        <family val="2"/>
      </rPr>
      <t xml:space="preserve">实时 </t>
    </r>
    <r>
      <rPr>
        <sz val="10"/>
        <rFont val="Arial"/>
        <family val="0"/>
        <charset val="1"/>
      </rPr>
      <t xml:space="preserve">DOM · CTR </t>
    </r>
    <r>
      <rPr>
        <sz val="10"/>
        <rFont val="Noto Sans CJK SC"/>
        <family val="2"/>
      </rPr>
      <t xml:space="preserve">基准：</t>
    </r>
    <r>
      <rPr>
        <sz val="10"/>
        <rFont val="Arial"/>
        <family val="0"/>
        <charset val="1"/>
      </rPr>
      <t xml:space="preserve">seoClarity</t>
    </r>
  </si>
  <si>
    <t xml:space="preserve">未取到（需自行补）</t>
  </si>
  <si>
    <r>
      <rPr>
        <sz val="10"/>
        <rFont val="Arial"/>
        <family val="0"/>
        <charset val="1"/>
      </rPr>
      <t xml:space="preserve">PageSpeed Insights / CrUX </t>
    </r>
    <r>
      <rPr>
        <sz val="10"/>
        <rFont val="Noto Sans CJK SC"/>
        <family val="2"/>
      </rPr>
      <t xml:space="preserve">字段数据 </t>
    </r>
    <r>
      <rPr>
        <sz val="10"/>
        <rFont val="Arial"/>
        <family val="0"/>
        <charset val="1"/>
      </rPr>
      <t xml:space="preserve">· sitemap </t>
    </r>
    <r>
      <rPr>
        <sz val="10"/>
        <rFont val="Noto Sans CJK SC"/>
        <family val="2"/>
      </rPr>
      <t xml:space="preserve">完整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清单 </t>
    </r>
    <r>
      <rPr>
        <sz val="10"/>
        <rFont val="Arial"/>
        <family val="0"/>
        <charset val="1"/>
      </rPr>
      <t xml:space="preserve">· GBP </t>
    </r>
    <r>
      <rPr>
        <sz val="10"/>
        <rFont val="Noto Sans CJK SC"/>
        <family val="2"/>
      </rPr>
      <t xml:space="preserve">照片总数与完整属性列表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双轨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301/302 </t>
    </r>
    <r>
      <rPr>
        <sz val="10"/>
        <rFont val="Noto Sans CJK SC"/>
        <family val="2"/>
      </rPr>
      <t xml:space="preserve">状态码区分 </t>
    </r>
    <r>
      <rPr>
        <sz val="10"/>
        <rFont val="Arial"/>
        <family val="0"/>
        <charset val="1"/>
      </rPr>
      <t xml:space="preserve">· bathroom </t>
    </r>
    <r>
      <rPr>
        <sz val="10"/>
        <rFont val="Noto Sans CJK SC"/>
        <family val="2"/>
      </rPr>
      <t xml:space="preserve">簇的新加坡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美国展示占比（</t>
    </r>
    <r>
      <rPr>
        <sz val="10"/>
        <rFont val="Arial"/>
        <family val="0"/>
        <charset val="1"/>
      </rPr>
      <t xml:space="preserve">GSC </t>
    </r>
    <r>
      <rPr>
        <sz val="10"/>
        <rFont val="Noto Sans CJK SC"/>
        <family val="2"/>
      </rPr>
      <t xml:space="preserve">加国家过滤器）</t>
    </r>
  </si>
  <si>
    <t xml:space="preserve">已被推翻的初判（勿执行）</t>
  </si>
  <si>
    <r>
      <rPr>
        <sz val="10"/>
        <rFont val="Noto Sans CJK SC"/>
        <family val="2"/>
      </rPr>
      <t xml:space="preserve">① 全站零 </t>
    </r>
    <r>
      <rPr>
        <sz val="10"/>
        <rFont val="Arial"/>
        <family val="0"/>
        <charset val="1"/>
      </rPr>
      <t xml:space="preserve">JSON-LD → </t>
    </r>
    <r>
      <rPr>
        <sz val="10"/>
        <rFont val="Noto Sans CJK SC"/>
        <family val="2"/>
      </rPr>
      <t xml:space="preserve">实际有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个块，问题是重复与 </t>
    </r>
    <r>
      <rPr>
        <sz val="10"/>
        <rFont val="Arial"/>
        <family val="0"/>
        <charset val="1"/>
      </rPr>
      <t xml:space="preserve">@id </t>
    </r>
    <r>
      <rPr>
        <sz val="10"/>
        <rFont val="Noto Sans CJK SC"/>
        <family val="2"/>
      </rPr>
      <t xml:space="preserve">冲突 ② 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组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双轨重复 → 实际已正确跳转 ③ </t>
    </r>
    <r>
      <rPr>
        <sz val="10"/>
        <rFont val="Arial"/>
        <family val="0"/>
        <charset val="1"/>
      </rPr>
      <t xml:space="preserve">www </t>
    </r>
    <r>
      <rPr>
        <sz val="10"/>
        <rFont val="Noto Sans CJK SC"/>
        <family val="2"/>
      </rPr>
      <t xml:space="preserve">未做 </t>
    </r>
    <r>
      <rPr>
        <sz val="10"/>
        <rFont val="Arial"/>
        <family val="0"/>
        <charset val="1"/>
      </rPr>
      <t xml:space="preserve">301 → </t>
    </r>
    <r>
      <rPr>
        <sz val="10"/>
        <rFont val="Noto Sans CJK SC"/>
        <family val="2"/>
      </rPr>
      <t xml:space="preserve">实际已跳转 ④ </t>
    </r>
    <r>
      <rPr>
        <sz val="10"/>
        <rFont val="Arial"/>
        <family val="0"/>
        <charset val="1"/>
      </rPr>
      <t xml:space="preserve">Conexus </t>
    </r>
    <r>
      <rPr>
        <sz val="10"/>
        <rFont val="Noto Sans CJK SC"/>
        <family val="2"/>
      </rPr>
      <t xml:space="preserve">屏蔽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爬虫 → 实际未屏蔽（</t>
    </r>
    <r>
      <rPr>
        <sz val="10"/>
        <rFont val="Arial"/>
        <family val="0"/>
        <charset val="1"/>
      </rPr>
      <t xml:space="preserve">Squarespace </t>
    </r>
    <r>
      <rPr>
        <sz val="10"/>
        <rFont val="Noto Sans CJK SC"/>
        <family val="2"/>
      </rPr>
      <t xml:space="preserve">默认模板列了 </t>
    </r>
    <r>
      <rPr>
        <sz val="10"/>
        <rFont val="Arial"/>
        <family val="0"/>
        <charset val="1"/>
      </rPr>
      <t xml:space="preserve">UA </t>
    </r>
    <r>
      <rPr>
        <sz val="10"/>
        <rFont val="Noto Sans CJK SC"/>
        <family val="2"/>
      </rPr>
      <t xml:space="preserve">但无 </t>
    </r>
    <r>
      <rPr>
        <sz val="10"/>
        <rFont val="Arial"/>
        <family val="0"/>
        <charset val="1"/>
      </rPr>
      <t xml:space="preserve">Disallow: /</t>
    </r>
    <r>
      <rPr>
        <sz val="10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</si>
</sst>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0%"/>
    <numFmt numFmtId="167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Arial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E2F3"/>
      </patternFill>
    </fill>
    <fill>
      <patternFill patternType="solid">
        <fgColor rgb="FFFFF2CC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D9E2F3"/>
      </patternFill>
    </fill>
    <fill>
      <patternFill patternType="solid">
        <fgColor rgb="FFEDEDED"/>
        <bgColor rgb="FFDDEBF7"/>
      </patternFill>
    </fill>
    <fill>
      <patternFill patternType="solid">
        <fgColor rgb="FFD9E2F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56"/>
    <col collapsed="false" customWidth="true" hidden="false" outlineLevel="0" max="6" min="6" style="0" width="64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2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44" hidden="false" customHeight="false" outlineLevel="0" collapsed="false">
      <c r="A2" s="3" t="s">
        <v>11</v>
      </c>
      <c r="B2" s="4" t="s">
        <v>12</v>
      </c>
      <c r="C2" s="3" t="s">
        <v>13</v>
      </c>
      <c r="D2" s="5" t="s">
        <v>14</v>
      </c>
      <c r="E2" s="5" t="s">
        <v>15</v>
      </c>
      <c r="F2" s="5" t="s">
        <v>16</v>
      </c>
      <c r="G2" s="3" t="s">
        <v>17</v>
      </c>
      <c r="H2" s="3" t="s">
        <v>18</v>
      </c>
      <c r="I2" s="6"/>
      <c r="J2" s="6"/>
      <c r="K2" s="7" t="s">
        <v>19</v>
      </c>
      <c r="L2" s="3"/>
    </row>
    <row r="3" customFormat="false" ht="29.85" hidden="false" customHeight="false" outlineLevel="0" collapsed="false">
      <c r="A3" s="3" t="s">
        <v>20</v>
      </c>
      <c r="B3" s="4" t="s">
        <v>12</v>
      </c>
      <c r="C3" s="3" t="s">
        <v>13</v>
      </c>
      <c r="D3" s="5" t="s">
        <v>14</v>
      </c>
      <c r="E3" s="5" t="s">
        <v>21</v>
      </c>
      <c r="F3" s="5" t="s">
        <v>22</v>
      </c>
      <c r="G3" s="3" t="s">
        <v>23</v>
      </c>
      <c r="H3" s="3" t="s">
        <v>24</v>
      </c>
      <c r="I3" s="6"/>
      <c r="J3" s="6"/>
      <c r="K3" s="7" t="s">
        <v>19</v>
      </c>
      <c r="L3" s="3"/>
    </row>
    <row r="4" customFormat="false" ht="29.85" hidden="false" customHeight="false" outlineLevel="0" collapsed="false">
      <c r="A4" s="3" t="s">
        <v>25</v>
      </c>
      <c r="B4" s="4" t="s">
        <v>12</v>
      </c>
      <c r="C4" s="3" t="s">
        <v>13</v>
      </c>
      <c r="D4" s="5" t="s">
        <v>14</v>
      </c>
      <c r="E4" s="5" t="s">
        <v>26</v>
      </c>
      <c r="F4" s="5" t="s">
        <v>27</v>
      </c>
      <c r="G4" s="3" t="s">
        <v>28</v>
      </c>
      <c r="H4" s="3" t="s">
        <v>29</v>
      </c>
      <c r="I4" s="6"/>
      <c r="J4" s="6"/>
      <c r="K4" s="7" t="s">
        <v>19</v>
      </c>
      <c r="L4" s="3"/>
    </row>
    <row r="5" customFormat="false" ht="29.85" hidden="false" customHeight="false" outlineLevel="0" collapsed="false">
      <c r="A5" s="3" t="s">
        <v>30</v>
      </c>
      <c r="B5" s="4" t="s">
        <v>12</v>
      </c>
      <c r="C5" s="3" t="s">
        <v>13</v>
      </c>
      <c r="D5" s="3" t="s">
        <v>31</v>
      </c>
      <c r="E5" s="5" t="s">
        <v>32</v>
      </c>
      <c r="F5" s="5" t="s">
        <v>33</v>
      </c>
      <c r="G5" s="3" t="s">
        <v>34</v>
      </c>
      <c r="H5" s="3" t="s">
        <v>35</v>
      </c>
      <c r="I5" s="6"/>
      <c r="J5" s="6"/>
      <c r="K5" s="7" t="s">
        <v>19</v>
      </c>
      <c r="L5" s="3"/>
    </row>
    <row r="6" customFormat="false" ht="29.85" hidden="false" customHeight="false" outlineLevel="0" collapsed="false">
      <c r="A6" s="3" t="s">
        <v>36</v>
      </c>
      <c r="B6" s="4" t="s">
        <v>12</v>
      </c>
      <c r="C6" s="3" t="s">
        <v>13</v>
      </c>
      <c r="D6" s="3" t="s">
        <v>31</v>
      </c>
      <c r="E6" s="5" t="s">
        <v>37</v>
      </c>
      <c r="F6" s="5" t="s">
        <v>38</v>
      </c>
      <c r="G6" s="3" t="s">
        <v>34</v>
      </c>
      <c r="H6" s="3" t="s">
        <v>39</v>
      </c>
      <c r="I6" s="6"/>
      <c r="J6" s="6"/>
      <c r="K6" s="7" t="s">
        <v>19</v>
      </c>
      <c r="L6" s="3"/>
    </row>
    <row r="7" customFormat="false" ht="29.85" hidden="false" customHeight="false" outlineLevel="0" collapsed="false">
      <c r="A7" s="3" t="s">
        <v>40</v>
      </c>
      <c r="B7" s="4" t="s">
        <v>12</v>
      </c>
      <c r="C7" s="3" t="s">
        <v>13</v>
      </c>
      <c r="D7" s="3" t="s">
        <v>31</v>
      </c>
      <c r="E7" s="5" t="s">
        <v>41</v>
      </c>
      <c r="F7" s="5" t="s">
        <v>42</v>
      </c>
      <c r="G7" s="3" t="s">
        <v>34</v>
      </c>
      <c r="H7" s="3" t="s">
        <v>43</v>
      </c>
      <c r="I7" s="6"/>
      <c r="J7" s="6"/>
      <c r="K7" s="7" t="s">
        <v>19</v>
      </c>
      <c r="L7" s="3"/>
    </row>
    <row r="8" customFormat="false" ht="41" hidden="false" customHeight="false" outlineLevel="0" collapsed="false">
      <c r="A8" s="3" t="s">
        <v>44</v>
      </c>
      <c r="B8" s="4" t="s">
        <v>12</v>
      </c>
      <c r="C8" s="3" t="s">
        <v>13</v>
      </c>
      <c r="D8" s="3" t="s">
        <v>31</v>
      </c>
      <c r="E8" s="5" t="s">
        <v>45</v>
      </c>
      <c r="F8" s="5" t="s">
        <v>46</v>
      </c>
      <c r="G8" s="3" t="s">
        <v>34</v>
      </c>
      <c r="H8" s="3" t="s">
        <v>24</v>
      </c>
      <c r="I8" s="6"/>
      <c r="J8" s="6"/>
      <c r="K8" s="7" t="s">
        <v>19</v>
      </c>
      <c r="L8" s="3"/>
    </row>
    <row r="9" customFormat="false" ht="44" hidden="false" customHeight="false" outlineLevel="0" collapsed="false">
      <c r="A9" s="3" t="s">
        <v>47</v>
      </c>
      <c r="B9" s="4" t="s">
        <v>12</v>
      </c>
      <c r="C9" s="3" t="s">
        <v>13</v>
      </c>
      <c r="D9" s="5" t="s">
        <v>48</v>
      </c>
      <c r="E9" s="5" t="s">
        <v>49</v>
      </c>
      <c r="F9" s="3" t="s">
        <v>50</v>
      </c>
      <c r="G9" s="3" t="s">
        <v>51</v>
      </c>
      <c r="H9" s="3" t="s">
        <v>43</v>
      </c>
      <c r="I9" s="6"/>
      <c r="J9" s="6"/>
      <c r="K9" s="7" t="s">
        <v>19</v>
      </c>
      <c r="L9" s="3"/>
    </row>
    <row r="10" customFormat="false" ht="29.85" hidden="false" customHeight="false" outlineLevel="0" collapsed="false">
      <c r="A10" s="3" t="s">
        <v>52</v>
      </c>
      <c r="B10" s="4" t="s">
        <v>12</v>
      </c>
      <c r="C10" s="3" t="s">
        <v>13</v>
      </c>
      <c r="D10" s="5" t="s">
        <v>14</v>
      </c>
      <c r="E10" s="3" t="s">
        <v>53</v>
      </c>
      <c r="F10" s="5" t="s">
        <v>54</v>
      </c>
      <c r="G10" s="3" t="s">
        <v>55</v>
      </c>
      <c r="H10" s="3" t="s">
        <v>18</v>
      </c>
      <c r="I10" s="6"/>
      <c r="J10" s="6"/>
      <c r="K10" s="7" t="s">
        <v>19</v>
      </c>
      <c r="L10" s="3"/>
    </row>
    <row r="11" customFormat="false" ht="29.85" hidden="false" customHeight="false" outlineLevel="0" collapsed="false">
      <c r="A11" s="3" t="s">
        <v>56</v>
      </c>
      <c r="B11" s="4" t="s">
        <v>12</v>
      </c>
      <c r="C11" s="3" t="s">
        <v>13</v>
      </c>
      <c r="D11" s="5" t="s">
        <v>57</v>
      </c>
      <c r="E11" s="5" t="s">
        <v>58</v>
      </c>
      <c r="F11" s="3" t="s">
        <v>59</v>
      </c>
      <c r="G11" s="3" t="s">
        <v>60</v>
      </c>
      <c r="H11" s="3" t="s">
        <v>18</v>
      </c>
      <c r="I11" s="6"/>
      <c r="J11" s="6"/>
      <c r="K11" s="7" t="s">
        <v>19</v>
      </c>
      <c r="L11" s="3"/>
    </row>
    <row r="12" customFormat="false" ht="29.85" hidden="false" customHeight="false" outlineLevel="0" collapsed="false">
      <c r="A12" s="3" t="s">
        <v>61</v>
      </c>
      <c r="B12" s="4" t="s">
        <v>12</v>
      </c>
      <c r="C12" s="3" t="s">
        <v>13</v>
      </c>
      <c r="D12" s="5" t="s">
        <v>57</v>
      </c>
      <c r="E12" s="5" t="s">
        <v>62</v>
      </c>
      <c r="F12" s="3" t="s">
        <v>63</v>
      </c>
      <c r="G12" s="3" t="s">
        <v>64</v>
      </c>
      <c r="H12" s="3" t="s">
        <v>43</v>
      </c>
      <c r="I12" s="6"/>
      <c r="J12" s="6"/>
      <c r="K12" s="7" t="s">
        <v>19</v>
      </c>
      <c r="L12" s="3"/>
    </row>
    <row r="13" customFormat="false" ht="29.85" hidden="false" customHeight="false" outlineLevel="0" collapsed="false">
      <c r="A13" s="3" t="s">
        <v>65</v>
      </c>
      <c r="B13" s="4" t="s">
        <v>12</v>
      </c>
      <c r="C13" s="3" t="s">
        <v>13</v>
      </c>
      <c r="D13" s="5" t="s">
        <v>57</v>
      </c>
      <c r="E13" s="3" t="s">
        <v>66</v>
      </c>
      <c r="F13" s="3" t="s">
        <v>67</v>
      </c>
      <c r="G13" s="5" t="s">
        <v>68</v>
      </c>
      <c r="H13" s="3" t="s">
        <v>18</v>
      </c>
      <c r="I13" s="6"/>
      <c r="J13" s="6"/>
      <c r="K13" s="7" t="s">
        <v>19</v>
      </c>
      <c r="L13" s="3"/>
    </row>
    <row r="14" customFormat="false" ht="29.85" hidden="false" customHeight="false" outlineLevel="0" collapsed="false">
      <c r="A14" s="3" t="s">
        <v>69</v>
      </c>
      <c r="B14" s="4" t="s">
        <v>12</v>
      </c>
      <c r="C14" s="3" t="s">
        <v>13</v>
      </c>
      <c r="D14" s="5" t="s">
        <v>14</v>
      </c>
      <c r="E14" s="3" t="s">
        <v>70</v>
      </c>
      <c r="F14" s="5" t="s">
        <v>71</v>
      </c>
      <c r="G14" s="3" t="s">
        <v>72</v>
      </c>
      <c r="H14" s="3" t="s">
        <v>73</v>
      </c>
      <c r="I14" s="6"/>
      <c r="J14" s="6"/>
      <c r="K14" s="7" t="s">
        <v>19</v>
      </c>
      <c r="L14" s="3"/>
    </row>
    <row r="15" customFormat="false" ht="44" hidden="false" customHeight="false" outlineLevel="0" collapsed="false">
      <c r="A15" s="3" t="s">
        <v>74</v>
      </c>
      <c r="B15" s="4" t="s">
        <v>12</v>
      </c>
      <c r="C15" s="3" t="s">
        <v>13</v>
      </c>
      <c r="D15" s="5" t="s">
        <v>75</v>
      </c>
      <c r="E15" s="5" t="s">
        <v>76</v>
      </c>
      <c r="F15" s="3" t="s">
        <v>77</v>
      </c>
      <c r="G15" s="3" t="s">
        <v>78</v>
      </c>
      <c r="H15" s="3" t="s">
        <v>18</v>
      </c>
      <c r="I15" s="6"/>
      <c r="J15" s="6"/>
      <c r="K15" s="7" t="s">
        <v>19</v>
      </c>
      <c r="L15" s="3"/>
    </row>
    <row r="16" customFormat="false" ht="29.85" hidden="false" customHeight="false" outlineLevel="0" collapsed="false">
      <c r="A16" s="3" t="s">
        <v>79</v>
      </c>
      <c r="B16" s="4" t="s">
        <v>12</v>
      </c>
      <c r="C16" s="3" t="s">
        <v>13</v>
      </c>
      <c r="D16" s="5" t="s">
        <v>75</v>
      </c>
      <c r="E16" s="5" t="s">
        <v>80</v>
      </c>
      <c r="F16" s="5" t="s">
        <v>81</v>
      </c>
      <c r="G16" s="3" t="s">
        <v>82</v>
      </c>
      <c r="H16" s="3" t="s">
        <v>83</v>
      </c>
      <c r="I16" s="6"/>
      <c r="J16" s="6"/>
      <c r="K16" s="7" t="s">
        <v>19</v>
      </c>
      <c r="L16" s="3"/>
    </row>
    <row r="17" customFormat="false" ht="29.85" hidden="false" customHeight="false" outlineLevel="0" collapsed="false">
      <c r="A17" s="3" t="s">
        <v>84</v>
      </c>
      <c r="B17" s="4" t="s">
        <v>12</v>
      </c>
      <c r="C17" s="3" t="s">
        <v>13</v>
      </c>
      <c r="D17" s="5" t="s">
        <v>85</v>
      </c>
      <c r="E17" s="3" t="s">
        <v>86</v>
      </c>
      <c r="F17" s="3" t="s">
        <v>87</v>
      </c>
      <c r="G17" s="3" t="s">
        <v>88</v>
      </c>
      <c r="H17" s="3" t="s">
        <v>73</v>
      </c>
      <c r="I17" s="6"/>
      <c r="J17" s="6"/>
      <c r="K17" s="7" t="s">
        <v>19</v>
      </c>
      <c r="L17" s="3"/>
    </row>
    <row r="18" customFormat="false" ht="29.85" hidden="false" customHeight="false" outlineLevel="0" collapsed="false">
      <c r="A18" s="3" t="s">
        <v>89</v>
      </c>
      <c r="B18" s="4" t="s">
        <v>12</v>
      </c>
      <c r="C18" s="3" t="s">
        <v>13</v>
      </c>
      <c r="D18" s="5" t="s">
        <v>85</v>
      </c>
      <c r="E18" s="3" t="s">
        <v>90</v>
      </c>
      <c r="F18" s="5" t="s">
        <v>91</v>
      </c>
      <c r="G18" s="3" t="s">
        <v>92</v>
      </c>
      <c r="H18" s="3" t="s">
        <v>24</v>
      </c>
      <c r="I18" s="6"/>
      <c r="J18" s="6"/>
      <c r="K18" s="7" t="s">
        <v>19</v>
      </c>
      <c r="L18" s="3"/>
    </row>
    <row r="19" customFormat="false" ht="29.85" hidden="false" customHeight="false" outlineLevel="0" collapsed="false">
      <c r="A19" s="3" t="s">
        <v>93</v>
      </c>
      <c r="B19" s="4" t="s">
        <v>12</v>
      </c>
      <c r="C19" s="3" t="s">
        <v>13</v>
      </c>
      <c r="D19" s="5" t="s">
        <v>94</v>
      </c>
      <c r="E19" s="5" t="s">
        <v>95</v>
      </c>
      <c r="F19" s="5" t="s">
        <v>96</v>
      </c>
      <c r="G19" s="5" t="s">
        <v>97</v>
      </c>
      <c r="H19" s="3" t="s">
        <v>83</v>
      </c>
      <c r="I19" s="6"/>
      <c r="J19" s="6"/>
      <c r="K19" s="7" t="s">
        <v>19</v>
      </c>
      <c r="L19" s="3"/>
    </row>
    <row r="20" customFormat="false" ht="29.85" hidden="false" customHeight="false" outlineLevel="0" collapsed="false">
      <c r="A20" s="3" t="s">
        <v>98</v>
      </c>
      <c r="B20" s="8" t="s">
        <v>99</v>
      </c>
      <c r="C20" s="3" t="s">
        <v>100</v>
      </c>
      <c r="D20" s="3" t="s">
        <v>101</v>
      </c>
      <c r="E20" s="5" t="s">
        <v>102</v>
      </c>
      <c r="F20" s="3" t="s">
        <v>103</v>
      </c>
      <c r="G20" s="3" t="s">
        <v>104</v>
      </c>
      <c r="H20" s="3" t="s">
        <v>73</v>
      </c>
      <c r="I20" s="6"/>
      <c r="J20" s="6"/>
      <c r="K20" s="7" t="s">
        <v>19</v>
      </c>
      <c r="L20" s="3"/>
    </row>
    <row r="21" customFormat="false" ht="29.85" hidden="false" customHeight="false" outlineLevel="0" collapsed="false">
      <c r="A21" s="3" t="s">
        <v>105</v>
      </c>
      <c r="B21" s="8" t="s">
        <v>99</v>
      </c>
      <c r="C21" s="3" t="s">
        <v>100</v>
      </c>
      <c r="D21" s="3" t="s">
        <v>101</v>
      </c>
      <c r="E21" s="5" t="s">
        <v>106</v>
      </c>
      <c r="F21" s="3" t="s">
        <v>107</v>
      </c>
      <c r="G21" s="3" t="s">
        <v>108</v>
      </c>
      <c r="H21" s="3" t="s">
        <v>35</v>
      </c>
      <c r="I21" s="6"/>
      <c r="J21" s="6"/>
      <c r="K21" s="7" t="s">
        <v>19</v>
      </c>
      <c r="L21" s="3"/>
    </row>
    <row r="22" customFormat="false" ht="26.85" hidden="false" customHeight="false" outlineLevel="0" collapsed="false">
      <c r="A22" s="3" t="s">
        <v>109</v>
      </c>
      <c r="B22" s="8" t="s">
        <v>99</v>
      </c>
      <c r="C22" s="3" t="s">
        <v>100</v>
      </c>
      <c r="D22" s="3" t="s">
        <v>101</v>
      </c>
      <c r="E22" s="5" t="s">
        <v>110</v>
      </c>
      <c r="F22" s="5" t="s">
        <v>111</v>
      </c>
      <c r="G22" s="3" t="s">
        <v>108</v>
      </c>
      <c r="H22" s="3" t="s">
        <v>35</v>
      </c>
      <c r="I22" s="6"/>
      <c r="J22" s="6"/>
      <c r="K22" s="7" t="s">
        <v>19</v>
      </c>
      <c r="L22" s="3"/>
    </row>
    <row r="23" customFormat="false" ht="15" hidden="false" customHeight="false" outlineLevel="0" collapsed="false">
      <c r="A23" s="3" t="s">
        <v>112</v>
      </c>
      <c r="B23" s="8" t="s">
        <v>99</v>
      </c>
      <c r="C23" s="3" t="s">
        <v>100</v>
      </c>
      <c r="D23" s="3" t="s">
        <v>101</v>
      </c>
      <c r="E23" s="5" t="s">
        <v>113</v>
      </c>
      <c r="F23" s="5" t="s">
        <v>114</v>
      </c>
      <c r="G23" s="3" t="s">
        <v>108</v>
      </c>
      <c r="H23" s="3" t="s">
        <v>24</v>
      </c>
      <c r="I23" s="6"/>
      <c r="J23" s="6"/>
      <c r="K23" s="7" t="s">
        <v>19</v>
      </c>
      <c r="L23" s="3"/>
    </row>
    <row r="24" customFormat="false" ht="29.85" hidden="false" customHeight="false" outlineLevel="0" collapsed="false">
      <c r="A24" s="3" t="s">
        <v>115</v>
      </c>
      <c r="B24" s="8" t="s">
        <v>99</v>
      </c>
      <c r="C24" s="3" t="s">
        <v>100</v>
      </c>
      <c r="D24" s="3" t="s">
        <v>101</v>
      </c>
      <c r="E24" s="5" t="s">
        <v>116</v>
      </c>
      <c r="F24" s="5" t="s">
        <v>117</v>
      </c>
      <c r="G24" s="3" t="s">
        <v>118</v>
      </c>
      <c r="H24" s="3" t="s">
        <v>18</v>
      </c>
      <c r="I24" s="6"/>
      <c r="J24" s="6"/>
      <c r="K24" s="7" t="s">
        <v>19</v>
      </c>
      <c r="L24" s="3"/>
    </row>
    <row r="25" customFormat="false" ht="29.85" hidden="false" customHeight="false" outlineLevel="0" collapsed="false">
      <c r="A25" s="3" t="s">
        <v>119</v>
      </c>
      <c r="B25" s="8" t="s">
        <v>99</v>
      </c>
      <c r="C25" s="3" t="s">
        <v>100</v>
      </c>
      <c r="D25" s="3" t="s">
        <v>101</v>
      </c>
      <c r="E25" s="5" t="s">
        <v>120</v>
      </c>
      <c r="F25" s="3" t="s">
        <v>121</v>
      </c>
      <c r="G25" s="3" t="s">
        <v>122</v>
      </c>
      <c r="H25" s="3" t="s">
        <v>83</v>
      </c>
      <c r="I25" s="6"/>
      <c r="J25" s="6"/>
      <c r="K25" s="7" t="s">
        <v>19</v>
      </c>
      <c r="L25" s="3"/>
    </row>
    <row r="26" customFormat="false" ht="15" hidden="false" customHeight="false" outlineLevel="0" collapsed="false">
      <c r="A26" s="3" t="s">
        <v>123</v>
      </c>
      <c r="B26" s="8" t="s">
        <v>99</v>
      </c>
      <c r="C26" s="3" t="s">
        <v>100</v>
      </c>
      <c r="D26" s="3" t="s">
        <v>101</v>
      </c>
      <c r="E26" s="5" t="s">
        <v>124</v>
      </c>
      <c r="F26" s="3" t="s">
        <v>125</v>
      </c>
      <c r="G26" s="3" t="s">
        <v>118</v>
      </c>
      <c r="H26" s="3" t="s">
        <v>83</v>
      </c>
      <c r="I26" s="6"/>
      <c r="J26" s="6"/>
      <c r="K26" s="7" t="s">
        <v>19</v>
      </c>
      <c r="L26" s="3"/>
    </row>
    <row r="27" customFormat="false" ht="29.85" hidden="false" customHeight="false" outlineLevel="0" collapsed="false">
      <c r="A27" s="3" t="s">
        <v>126</v>
      </c>
      <c r="B27" s="8" t="s">
        <v>99</v>
      </c>
      <c r="C27" s="3" t="s">
        <v>100</v>
      </c>
      <c r="D27" s="5" t="s">
        <v>127</v>
      </c>
      <c r="E27" s="5" t="s">
        <v>128</v>
      </c>
      <c r="F27" s="3" t="s">
        <v>129</v>
      </c>
      <c r="G27" s="3" t="s">
        <v>82</v>
      </c>
      <c r="H27" s="3" t="s">
        <v>24</v>
      </c>
      <c r="I27" s="6"/>
      <c r="J27" s="6"/>
      <c r="K27" s="7" t="s">
        <v>19</v>
      </c>
      <c r="L27" s="3"/>
    </row>
    <row r="28" customFormat="false" ht="15" hidden="false" customHeight="false" outlineLevel="0" collapsed="false">
      <c r="A28" s="3" t="s">
        <v>130</v>
      </c>
      <c r="B28" s="8" t="s">
        <v>99</v>
      </c>
      <c r="C28" s="3" t="s">
        <v>100</v>
      </c>
      <c r="D28" s="5" t="s">
        <v>127</v>
      </c>
      <c r="E28" s="3" t="s">
        <v>131</v>
      </c>
      <c r="F28" s="5" t="s">
        <v>132</v>
      </c>
      <c r="G28" s="3" t="s">
        <v>82</v>
      </c>
      <c r="H28" s="3" t="s">
        <v>39</v>
      </c>
      <c r="I28" s="6"/>
      <c r="J28" s="6"/>
      <c r="K28" s="7" t="s">
        <v>19</v>
      </c>
      <c r="L28" s="3"/>
    </row>
    <row r="29" customFormat="false" ht="15" hidden="false" customHeight="false" outlineLevel="0" collapsed="false">
      <c r="A29" s="3" t="s">
        <v>133</v>
      </c>
      <c r="B29" s="8" t="s">
        <v>99</v>
      </c>
      <c r="C29" s="3" t="s">
        <v>100</v>
      </c>
      <c r="D29" s="5" t="s">
        <v>127</v>
      </c>
      <c r="E29" s="5" t="s">
        <v>134</v>
      </c>
      <c r="F29" s="3" t="s">
        <v>135</v>
      </c>
      <c r="G29" s="3" t="s">
        <v>136</v>
      </c>
      <c r="H29" s="3" t="s">
        <v>73</v>
      </c>
      <c r="I29" s="6"/>
      <c r="J29" s="6"/>
      <c r="K29" s="7" t="s">
        <v>19</v>
      </c>
      <c r="L29" s="3"/>
    </row>
    <row r="30" customFormat="false" ht="29.85" hidden="false" customHeight="false" outlineLevel="0" collapsed="false">
      <c r="A30" s="3" t="s">
        <v>137</v>
      </c>
      <c r="B30" s="8" t="s">
        <v>99</v>
      </c>
      <c r="C30" s="3" t="s">
        <v>100</v>
      </c>
      <c r="D30" s="5" t="s">
        <v>127</v>
      </c>
      <c r="E30" s="3" t="s">
        <v>138</v>
      </c>
      <c r="F30" s="5" t="s">
        <v>139</v>
      </c>
      <c r="G30" s="3" t="s">
        <v>82</v>
      </c>
      <c r="H30" s="3" t="s">
        <v>18</v>
      </c>
      <c r="I30" s="6"/>
      <c r="J30" s="6"/>
      <c r="K30" s="7" t="s">
        <v>19</v>
      </c>
      <c r="L30" s="3"/>
    </row>
    <row r="31" customFormat="false" ht="15" hidden="false" customHeight="false" outlineLevel="0" collapsed="false">
      <c r="A31" s="3" t="s">
        <v>140</v>
      </c>
      <c r="B31" s="8" t="s">
        <v>99</v>
      </c>
      <c r="C31" s="3" t="s">
        <v>100</v>
      </c>
      <c r="D31" s="5" t="s">
        <v>127</v>
      </c>
      <c r="E31" s="3" t="s">
        <v>141</v>
      </c>
      <c r="F31" s="3" t="s">
        <v>142</v>
      </c>
      <c r="G31" s="3" t="s">
        <v>118</v>
      </c>
      <c r="H31" s="3" t="s">
        <v>39</v>
      </c>
      <c r="I31" s="6"/>
      <c r="J31" s="6"/>
      <c r="K31" s="7" t="s">
        <v>19</v>
      </c>
      <c r="L31" s="3"/>
    </row>
    <row r="32" customFormat="false" ht="44" hidden="false" customHeight="false" outlineLevel="0" collapsed="false">
      <c r="A32" s="3" t="s">
        <v>143</v>
      </c>
      <c r="B32" s="8" t="s">
        <v>99</v>
      </c>
      <c r="C32" s="3" t="s">
        <v>100</v>
      </c>
      <c r="D32" s="5" t="s">
        <v>127</v>
      </c>
      <c r="E32" s="3" t="s">
        <v>144</v>
      </c>
      <c r="F32" s="3" t="s">
        <v>145</v>
      </c>
      <c r="G32" s="3" t="s">
        <v>146</v>
      </c>
      <c r="H32" s="3" t="s">
        <v>18</v>
      </c>
      <c r="I32" s="6"/>
      <c r="J32" s="6"/>
      <c r="K32" s="7" t="s">
        <v>19</v>
      </c>
      <c r="L32" s="3"/>
    </row>
    <row r="33" customFormat="false" ht="29.85" hidden="false" customHeight="false" outlineLevel="0" collapsed="false">
      <c r="A33" s="3" t="s">
        <v>147</v>
      </c>
      <c r="B33" s="8" t="s">
        <v>99</v>
      </c>
      <c r="C33" s="3" t="s">
        <v>100</v>
      </c>
      <c r="D33" s="5" t="s">
        <v>75</v>
      </c>
      <c r="E33" s="3" t="s">
        <v>148</v>
      </c>
      <c r="F33" s="5" t="s">
        <v>149</v>
      </c>
      <c r="G33" s="3" t="s">
        <v>150</v>
      </c>
      <c r="H33" s="3" t="s">
        <v>151</v>
      </c>
      <c r="I33" s="6"/>
      <c r="J33" s="6"/>
      <c r="K33" s="7" t="s">
        <v>19</v>
      </c>
      <c r="L33" s="3"/>
    </row>
    <row r="34" customFormat="false" ht="44" hidden="false" customHeight="false" outlineLevel="0" collapsed="false">
      <c r="A34" s="3" t="s">
        <v>152</v>
      </c>
      <c r="B34" s="8" t="s">
        <v>99</v>
      </c>
      <c r="C34" s="3" t="s">
        <v>100</v>
      </c>
      <c r="D34" s="5" t="s">
        <v>75</v>
      </c>
      <c r="E34" s="5" t="s">
        <v>153</v>
      </c>
      <c r="F34" s="3" t="s">
        <v>154</v>
      </c>
      <c r="G34" s="3" t="s">
        <v>118</v>
      </c>
      <c r="H34" s="3" t="s">
        <v>155</v>
      </c>
      <c r="I34" s="6"/>
      <c r="J34" s="6"/>
      <c r="K34" s="7" t="s">
        <v>19</v>
      </c>
      <c r="L34" s="3"/>
    </row>
    <row r="35" customFormat="false" ht="29.85" hidden="false" customHeight="false" outlineLevel="0" collapsed="false">
      <c r="A35" s="3" t="s">
        <v>156</v>
      </c>
      <c r="B35" s="8" t="s">
        <v>99</v>
      </c>
      <c r="C35" s="3" t="s">
        <v>100</v>
      </c>
      <c r="D35" s="5" t="s">
        <v>157</v>
      </c>
      <c r="E35" s="5" t="s">
        <v>158</v>
      </c>
      <c r="F35" s="5" t="s">
        <v>159</v>
      </c>
      <c r="G35" s="3" t="s">
        <v>160</v>
      </c>
      <c r="H35" s="3" t="s">
        <v>161</v>
      </c>
      <c r="I35" s="6"/>
      <c r="J35" s="6"/>
      <c r="K35" s="7" t="s">
        <v>19</v>
      </c>
      <c r="L35" s="3"/>
    </row>
    <row r="36" customFormat="false" ht="15" hidden="false" customHeight="false" outlineLevel="0" collapsed="false">
      <c r="A36" s="3" t="s">
        <v>162</v>
      </c>
      <c r="B36" s="8" t="s">
        <v>99</v>
      </c>
      <c r="C36" s="3" t="s">
        <v>100</v>
      </c>
      <c r="D36" s="5" t="s">
        <v>157</v>
      </c>
      <c r="E36" s="5" t="s">
        <v>163</v>
      </c>
      <c r="F36" s="3" t="s">
        <v>164</v>
      </c>
      <c r="G36" s="3" t="s">
        <v>118</v>
      </c>
      <c r="H36" s="3" t="s">
        <v>155</v>
      </c>
      <c r="I36" s="6"/>
      <c r="J36" s="6"/>
      <c r="K36" s="7" t="s">
        <v>19</v>
      </c>
      <c r="L36" s="3"/>
    </row>
    <row r="37" customFormat="false" ht="15" hidden="false" customHeight="false" outlineLevel="0" collapsed="false">
      <c r="A37" s="3" t="s">
        <v>165</v>
      </c>
      <c r="B37" s="8" t="s">
        <v>99</v>
      </c>
      <c r="C37" s="3" t="s">
        <v>100</v>
      </c>
      <c r="D37" s="3" t="s">
        <v>166</v>
      </c>
      <c r="E37" s="5" t="s">
        <v>167</v>
      </c>
      <c r="F37" s="3" t="s">
        <v>168</v>
      </c>
      <c r="G37" s="3" t="s">
        <v>169</v>
      </c>
      <c r="H37" s="3" t="s">
        <v>43</v>
      </c>
      <c r="I37" s="6"/>
      <c r="J37" s="6"/>
      <c r="K37" s="7" t="s">
        <v>19</v>
      </c>
      <c r="L37" s="3"/>
    </row>
    <row r="38" customFormat="false" ht="29.85" hidden="false" customHeight="false" outlineLevel="0" collapsed="false">
      <c r="A38" s="3" t="s">
        <v>170</v>
      </c>
      <c r="B38" s="8" t="s">
        <v>99</v>
      </c>
      <c r="C38" s="3" t="s">
        <v>100</v>
      </c>
      <c r="D38" s="3" t="s">
        <v>166</v>
      </c>
      <c r="E38" s="5" t="s">
        <v>171</v>
      </c>
      <c r="F38" s="5" t="s">
        <v>172</v>
      </c>
      <c r="G38" s="3" t="s">
        <v>173</v>
      </c>
      <c r="H38" s="3" t="s">
        <v>73</v>
      </c>
      <c r="I38" s="6"/>
      <c r="J38" s="6"/>
      <c r="K38" s="7" t="s">
        <v>19</v>
      </c>
      <c r="L38" s="3"/>
    </row>
    <row r="39" customFormat="false" ht="29.85" hidden="false" customHeight="false" outlineLevel="0" collapsed="false">
      <c r="A39" s="3" t="s">
        <v>174</v>
      </c>
      <c r="B39" s="8" t="s">
        <v>99</v>
      </c>
      <c r="C39" s="3" t="s">
        <v>100</v>
      </c>
      <c r="D39" s="5" t="s">
        <v>75</v>
      </c>
      <c r="E39" s="3" t="s">
        <v>175</v>
      </c>
      <c r="F39" s="5" t="s">
        <v>176</v>
      </c>
      <c r="G39" s="3" t="s">
        <v>118</v>
      </c>
      <c r="H39" s="3" t="s">
        <v>73</v>
      </c>
      <c r="I39" s="6"/>
      <c r="J39" s="6"/>
      <c r="K39" s="7" t="s">
        <v>19</v>
      </c>
      <c r="L39" s="3"/>
    </row>
    <row r="40" customFormat="false" ht="29.85" hidden="false" customHeight="false" outlineLevel="0" collapsed="false">
      <c r="A40" s="3" t="s">
        <v>177</v>
      </c>
      <c r="B40" s="8" t="s">
        <v>99</v>
      </c>
      <c r="C40" s="3" t="s">
        <v>100</v>
      </c>
      <c r="D40" s="5" t="s">
        <v>178</v>
      </c>
      <c r="E40" s="5" t="s">
        <v>179</v>
      </c>
      <c r="F40" s="5" t="s">
        <v>180</v>
      </c>
      <c r="G40" s="3" t="s">
        <v>181</v>
      </c>
      <c r="H40" s="3" t="s">
        <v>18</v>
      </c>
      <c r="I40" s="6"/>
      <c r="J40" s="6"/>
      <c r="K40" s="7" t="s">
        <v>19</v>
      </c>
      <c r="L40" s="3"/>
    </row>
    <row r="41" customFormat="false" ht="58.2" hidden="false" customHeight="false" outlineLevel="0" collapsed="false">
      <c r="A41" s="3" t="s">
        <v>182</v>
      </c>
      <c r="B41" s="9" t="s">
        <v>183</v>
      </c>
      <c r="C41" s="3" t="s">
        <v>184</v>
      </c>
      <c r="D41" s="5" t="s">
        <v>75</v>
      </c>
      <c r="E41" s="5" t="s">
        <v>185</v>
      </c>
      <c r="F41" s="5" t="s">
        <v>186</v>
      </c>
      <c r="G41" s="3" t="s">
        <v>187</v>
      </c>
      <c r="H41" s="3" t="s">
        <v>188</v>
      </c>
      <c r="I41" s="6"/>
      <c r="J41" s="6"/>
      <c r="K41" s="7" t="s">
        <v>19</v>
      </c>
      <c r="L41" s="3"/>
    </row>
    <row r="42" customFormat="false" ht="29.85" hidden="false" customHeight="false" outlineLevel="0" collapsed="false">
      <c r="A42" s="3" t="s">
        <v>189</v>
      </c>
      <c r="B42" s="9" t="s">
        <v>183</v>
      </c>
      <c r="C42" s="3" t="s">
        <v>184</v>
      </c>
      <c r="D42" s="5" t="s">
        <v>190</v>
      </c>
      <c r="E42" s="5" t="s">
        <v>191</v>
      </c>
      <c r="F42" s="5" t="s">
        <v>192</v>
      </c>
      <c r="G42" s="3" t="s">
        <v>92</v>
      </c>
      <c r="H42" s="3" t="s">
        <v>18</v>
      </c>
      <c r="I42" s="6"/>
      <c r="J42" s="6"/>
      <c r="K42" s="7" t="s">
        <v>19</v>
      </c>
      <c r="L42" s="3"/>
    </row>
    <row r="43" customFormat="false" ht="44" hidden="false" customHeight="false" outlineLevel="0" collapsed="false">
      <c r="A43" s="3" t="s">
        <v>193</v>
      </c>
      <c r="B43" s="9" t="s">
        <v>183</v>
      </c>
      <c r="C43" s="3" t="s">
        <v>194</v>
      </c>
      <c r="D43" s="5" t="s">
        <v>75</v>
      </c>
      <c r="E43" s="5" t="s">
        <v>195</v>
      </c>
      <c r="F43" s="3" t="s">
        <v>196</v>
      </c>
      <c r="G43" s="3" t="s">
        <v>197</v>
      </c>
      <c r="H43" s="3" t="s">
        <v>188</v>
      </c>
      <c r="I43" s="6"/>
      <c r="J43" s="6"/>
      <c r="K43" s="7" t="s">
        <v>19</v>
      </c>
      <c r="L43" s="3"/>
    </row>
    <row r="44" customFormat="false" ht="29.85" hidden="false" customHeight="false" outlineLevel="0" collapsed="false">
      <c r="A44" s="3" t="s">
        <v>198</v>
      </c>
      <c r="B44" s="9" t="s">
        <v>183</v>
      </c>
      <c r="C44" s="3" t="s">
        <v>194</v>
      </c>
      <c r="D44" s="5" t="s">
        <v>75</v>
      </c>
      <c r="E44" s="5" t="s">
        <v>199</v>
      </c>
      <c r="F44" s="3" t="s">
        <v>200</v>
      </c>
      <c r="G44" s="3" t="s">
        <v>197</v>
      </c>
      <c r="H44" s="3" t="s">
        <v>188</v>
      </c>
      <c r="I44" s="6"/>
      <c r="J44" s="6"/>
      <c r="K44" s="7" t="s">
        <v>19</v>
      </c>
      <c r="L44" s="3"/>
    </row>
    <row r="45" customFormat="false" ht="29.85" hidden="false" customHeight="false" outlineLevel="0" collapsed="false">
      <c r="A45" s="3" t="s">
        <v>201</v>
      </c>
      <c r="B45" s="9" t="s">
        <v>183</v>
      </c>
      <c r="C45" s="3" t="s">
        <v>202</v>
      </c>
      <c r="D45" s="5" t="s">
        <v>75</v>
      </c>
      <c r="E45" s="5" t="s">
        <v>203</v>
      </c>
      <c r="F45" s="3" t="s">
        <v>204</v>
      </c>
      <c r="G45" s="3" t="s">
        <v>197</v>
      </c>
      <c r="H45" s="3" t="s">
        <v>151</v>
      </c>
      <c r="I45" s="6"/>
      <c r="J45" s="6"/>
      <c r="K45" s="7" t="s">
        <v>19</v>
      </c>
      <c r="L45" s="3"/>
    </row>
    <row r="46" customFormat="false" ht="29.85" hidden="false" customHeight="false" outlineLevel="0" collapsed="false">
      <c r="A46" s="3" t="s">
        <v>205</v>
      </c>
      <c r="B46" s="9" t="s">
        <v>183</v>
      </c>
      <c r="C46" s="3" t="s">
        <v>202</v>
      </c>
      <c r="D46" s="5" t="s">
        <v>75</v>
      </c>
      <c r="E46" s="5" t="s">
        <v>206</v>
      </c>
      <c r="F46" s="3" t="s">
        <v>207</v>
      </c>
      <c r="G46" s="3" t="s">
        <v>197</v>
      </c>
      <c r="H46" s="3" t="s">
        <v>151</v>
      </c>
      <c r="I46" s="6"/>
      <c r="J46" s="6"/>
      <c r="K46" s="7" t="s">
        <v>19</v>
      </c>
      <c r="L46" s="3"/>
    </row>
    <row r="47" customFormat="false" ht="29.85" hidden="false" customHeight="false" outlineLevel="0" collapsed="false">
      <c r="A47" s="3" t="s">
        <v>208</v>
      </c>
      <c r="B47" s="9" t="s">
        <v>183</v>
      </c>
      <c r="C47" s="3" t="s">
        <v>202</v>
      </c>
      <c r="D47" s="5" t="s">
        <v>75</v>
      </c>
      <c r="E47" s="5" t="s">
        <v>209</v>
      </c>
      <c r="F47" s="3" t="s">
        <v>210</v>
      </c>
      <c r="G47" s="3" t="s">
        <v>197</v>
      </c>
      <c r="H47" s="3" t="s">
        <v>151</v>
      </c>
      <c r="I47" s="6"/>
      <c r="J47" s="6"/>
      <c r="K47" s="7" t="s">
        <v>19</v>
      </c>
      <c r="L47" s="3"/>
    </row>
    <row r="48" customFormat="false" ht="15" hidden="false" customHeight="false" outlineLevel="0" collapsed="false">
      <c r="A48" s="3" t="s">
        <v>211</v>
      </c>
      <c r="B48" s="9" t="s">
        <v>183</v>
      </c>
      <c r="C48" s="3" t="s">
        <v>202</v>
      </c>
      <c r="D48" s="5" t="s">
        <v>75</v>
      </c>
      <c r="E48" s="5" t="s">
        <v>212</v>
      </c>
      <c r="F48" s="3" t="s">
        <v>213</v>
      </c>
      <c r="G48" s="3" t="s">
        <v>197</v>
      </c>
      <c r="H48" s="3" t="s">
        <v>151</v>
      </c>
      <c r="I48" s="6"/>
      <c r="J48" s="6"/>
      <c r="K48" s="7" t="s">
        <v>19</v>
      </c>
      <c r="L48" s="3"/>
    </row>
    <row r="49" customFormat="false" ht="15" hidden="false" customHeight="false" outlineLevel="0" collapsed="false">
      <c r="A49" s="3" t="s">
        <v>214</v>
      </c>
      <c r="B49" s="9" t="s">
        <v>183</v>
      </c>
      <c r="C49" s="3" t="s">
        <v>202</v>
      </c>
      <c r="D49" s="5" t="s">
        <v>75</v>
      </c>
      <c r="E49" s="5" t="s">
        <v>215</v>
      </c>
      <c r="F49" s="3" t="s">
        <v>216</v>
      </c>
      <c r="G49" s="3" t="s">
        <v>197</v>
      </c>
      <c r="H49" s="3" t="s">
        <v>151</v>
      </c>
      <c r="I49" s="6"/>
      <c r="J49" s="6"/>
      <c r="K49" s="7" t="s">
        <v>19</v>
      </c>
      <c r="L49" s="3"/>
    </row>
    <row r="50" customFormat="false" ht="29.85" hidden="false" customHeight="false" outlineLevel="0" collapsed="false">
      <c r="A50" s="3" t="s">
        <v>217</v>
      </c>
      <c r="B50" s="9" t="s">
        <v>183</v>
      </c>
      <c r="C50" s="3" t="s">
        <v>218</v>
      </c>
      <c r="D50" s="5" t="s">
        <v>75</v>
      </c>
      <c r="E50" s="5" t="s">
        <v>219</v>
      </c>
      <c r="F50" s="5" t="s">
        <v>220</v>
      </c>
      <c r="G50" s="3" t="s">
        <v>221</v>
      </c>
      <c r="H50" s="3" t="s">
        <v>151</v>
      </c>
      <c r="I50" s="6"/>
      <c r="J50" s="6"/>
      <c r="K50" s="7" t="s">
        <v>19</v>
      </c>
      <c r="L50" s="3"/>
    </row>
    <row r="51" customFormat="false" ht="29.85" hidden="false" customHeight="false" outlineLevel="0" collapsed="false">
      <c r="A51" s="3" t="s">
        <v>222</v>
      </c>
      <c r="B51" s="9" t="s">
        <v>183</v>
      </c>
      <c r="C51" s="3" t="s">
        <v>218</v>
      </c>
      <c r="D51" s="5" t="s">
        <v>75</v>
      </c>
      <c r="E51" s="5" t="s">
        <v>223</v>
      </c>
      <c r="F51" s="5" t="s">
        <v>224</v>
      </c>
      <c r="G51" s="3" t="s">
        <v>221</v>
      </c>
      <c r="H51" s="3" t="s">
        <v>161</v>
      </c>
      <c r="I51" s="6"/>
      <c r="J51" s="6"/>
      <c r="K51" s="7" t="s">
        <v>19</v>
      </c>
      <c r="L51" s="3"/>
    </row>
    <row r="52" customFormat="false" ht="29.85" hidden="false" customHeight="false" outlineLevel="0" collapsed="false">
      <c r="A52" s="3" t="s">
        <v>225</v>
      </c>
      <c r="B52" s="9" t="s">
        <v>183</v>
      </c>
      <c r="C52" s="3" t="s">
        <v>218</v>
      </c>
      <c r="D52" s="5" t="s">
        <v>75</v>
      </c>
      <c r="E52" s="5" t="s">
        <v>226</v>
      </c>
      <c r="F52" s="5" t="s">
        <v>227</v>
      </c>
      <c r="G52" s="3" t="s">
        <v>221</v>
      </c>
      <c r="H52" s="3" t="s">
        <v>161</v>
      </c>
      <c r="I52" s="6"/>
      <c r="J52" s="6"/>
      <c r="K52" s="7" t="s">
        <v>19</v>
      </c>
      <c r="L52" s="3"/>
    </row>
    <row r="53" customFormat="false" ht="29.85" hidden="false" customHeight="false" outlineLevel="0" collapsed="false">
      <c r="A53" s="3" t="s">
        <v>228</v>
      </c>
      <c r="B53" s="9" t="s">
        <v>183</v>
      </c>
      <c r="C53" s="3" t="s">
        <v>218</v>
      </c>
      <c r="D53" s="5" t="s">
        <v>75</v>
      </c>
      <c r="E53" s="5" t="s">
        <v>229</v>
      </c>
      <c r="F53" s="5" t="s">
        <v>230</v>
      </c>
      <c r="G53" s="3" t="s">
        <v>221</v>
      </c>
      <c r="H53" s="3" t="s">
        <v>231</v>
      </c>
      <c r="I53" s="6"/>
      <c r="J53" s="6"/>
      <c r="K53" s="7" t="s">
        <v>19</v>
      </c>
      <c r="L53" s="3"/>
    </row>
    <row r="54" customFormat="false" ht="29.85" hidden="false" customHeight="false" outlineLevel="0" collapsed="false">
      <c r="A54" s="3" t="s">
        <v>232</v>
      </c>
      <c r="B54" s="9" t="s">
        <v>183</v>
      </c>
      <c r="C54" s="3" t="s">
        <v>218</v>
      </c>
      <c r="D54" s="5" t="s">
        <v>75</v>
      </c>
      <c r="E54" s="5" t="s">
        <v>233</v>
      </c>
      <c r="F54" s="5" t="s">
        <v>234</v>
      </c>
      <c r="G54" s="3" t="s">
        <v>221</v>
      </c>
      <c r="H54" s="3" t="s">
        <v>231</v>
      </c>
      <c r="I54" s="6"/>
      <c r="J54" s="6"/>
      <c r="K54" s="7" t="s">
        <v>19</v>
      </c>
      <c r="L54" s="3"/>
    </row>
    <row r="55" customFormat="false" ht="29.85" hidden="false" customHeight="false" outlineLevel="0" collapsed="false">
      <c r="A55" s="3" t="s">
        <v>235</v>
      </c>
      <c r="B55" s="9" t="s">
        <v>183</v>
      </c>
      <c r="C55" s="3" t="s">
        <v>218</v>
      </c>
      <c r="D55" s="3" t="s">
        <v>31</v>
      </c>
      <c r="E55" s="5" t="s">
        <v>236</v>
      </c>
      <c r="F55" s="5" t="s">
        <v>237</v>
      </c>
      <c r="G55" s="3" t="s">
        <v>34</v>
      </c>
      <c r="H55" s="3" t="s">
        <v>24</v>
      </c>
      <c r="I55" s="6"/>
      <c r="J55" s="6"/>
      <c r="K55" s="7" t="s">
        <v>19</v>
      </c>
      <c r="L55" s="3"/>
    </row>
    <row r="56" customFormat="false" ht="29.85" hidden="false" customHeight="false" outlineLevel="0" collapsed="false">
      <c r="A56" s="3" t="s">
        <v>238</v>
      </c>
      <c r="B56" s="9" t="s">
        <v>183</v>
      </c>
      <c r="C56" s="5" t="s">
        <v>239</v>
      </c>
      <c r="D56" s="3" t="s">
        <v>31</v>
      </c>
      <c r="E56" s="5" t="s">
        <v>240</v>
      </c>
      <c r="F56" s="5" t="s">
        <v>241</v>
      </c>
      <c r="G56" s="3" t="s">
        <v>34</v>
      </c>
      <c r="H56" s="3" t="s">
        <v>242</v>
      </c>
      <c r="I56" s="6"/>
      <c r="J56" s="6"/>
      <c r="K56" s="7" t="s">
        <v>19</v>
      </c>
      <c r="L56" s="3"/>
    </row>
    <row r="57" customFormat="false" ht="29.85" hidden="false" customHeight="false" outlineLevel="0" collapsed="false">
      <c r="A57" s="3" t="s">
        <v>243</v>
      </c>
      <c r="B57" s="9" t="s">
        <v>183</v>
      </c>
      <c r="C57" s="5" t="s">
        <v>239</v>
      </c>
      <c r="D57" s="3" t="s">
        <v>31</v>
      </c>
      <c r="E57" s="5" t="s">
        <v>244</v>
      </c>
      <c r="F57" s="3" t="s">
        <v>245</v>
      </c>
      <c r="G57" s="3" t="s">
        <v>34</v>
      </c>
      <c r="H57" s="3" t="s">
        <v>73</v>
      </c>
      <c r="I57" s="6"/>
      <c r="J57" s="6"/>
      <c r="K57" s="7" t="s">
        <v>19</v>
      </c>
      <c r="L57" s="3"/>
    </row>
    <row r="58" customFormat="false" ht="29.85" hidden="false" customHeight="false" outlineLevel="0" collapsed="false">
      <c r="A58" s="3" t="s">
        <v>246</v>
      </c>
      <c r="B58" s="9" t="s">
        <v>183</v>
      </c>
      <c r="C58" s="5" t="s">
        <v>239</v>
      </c>
      <c r="D58" s="3" t="s">
        <v>247</v>
      </c>
      <c r="E58" s="5" t="s">
        <v>248</v>
      </c>
      <c r="F58" s="5" t="s">
        <v>249</v>
      </c>
      <c r="G58" s="3" t="s">
        <v>250</v>
      </c>
      <c r="H58" s="3" t="s">
        <v>73</v>
      </c>
      <c r="I58" s="6"/>
      <c r="J58" s="6"/>
      <c r="K58" s="7" t="s">
        <v>19</v>
      </c>
      <c r="L58" s="3"/>
    </row>
    <row r="59" customFormat="false" ht="44" hidden="false" customHeight="false" outlineLevel="0" collapsed="false">
      <c r="A59" s="3" t="s">
        <v>251</v>
      </c>
      <c r="B59" s="9" t="s">
        <v>183</v>
      </c>
      <c r="C59" s="5" t="s">
        <v>252</v>
      </c>
      <c r="D59" s="5" t="s">
        <v>75</v>
      </c>
      <c r="E59" s="5" t="s">
        <v>253</v>
      </c>
      <c r="F59" s="5" t="s">
        <v>254</v>
      </c>
      <c r="G59" s="3" t="s">
        <v>197</v>
      </c>
      <c r="H59" s="3" t="s">
        <v>255</v>
      </c>
      <c r="I59" s="6"/>
      <c r="J59" s="6"/>
      <c r="K59" s="7" t="s">
        <v>19</v>
      </c>
      <c r="L59" s="3"/>
    </row>
    <row r="60" customFormat="false" ht="29.85" hidden="false" customHeight="false" outlineLevel="0" collapsed="false">
      <c r="A60" s="3" t="s">
        <v>256</v>
      </c>
      <c r="B60" s="10" t="s">
        <v>257</v>
      </c>
      <c r="C60" s="5" t="s">
        <v>239</v>
      </c>
      <c r="D60" s="5" t="s">
        <v>258</v>
      </c>
      <c r="E60" s="5" t="s">
        <v>259</v>
      </c>
      <c r="F60" s="3" t="s">
        <v>260</v>
      </c>
      <c r="G60" s="5" t="s">
        <v>261</v>
      </c>
      <c r="H60" s="3" t="s">
        <v>262</v>
      </c>
      <c r="I60" s="6"/>
      <c r="J60" s="6"/>
      <c r="K60" s="7" t="s">
        <v>19</v>
      </c>
      <c r="L60" s="3"/>
    </row>
    <row r="62" customFormat="false" ht="15" hidden="false" customHeight="false" outlineLevel="0" collapsed="false">
      <c r="A62" s="11" t="s">
        <v>263</v>
      </c>
    </row>
    <row r="63" customFormat="false" ht="15" hidden="false" customHeight="false" outlineLevel="0" collapsed="false">
      <c r="B63" s="12" t="s">
        <v>264</v>
      </c>
      <c r="C63" s="12" t="n">
        <f aca="false">COUNTA(A2:A60)</f>
        <v>59</v>
      </c>
    </row>
    <row r="64" customFormat="false" ht="15" hidden="false" customHeight="false" outlineLevel="0" collapsed="false">
      <c r="B64" s="13" t="s">
        <v>265</v>
      </c>
      <c r="C64" s="13" t="n">
        <f aca="false">COUNTIF(B2:B60,"P0")</f>
        <v>18</v>
      </c>
    </row>
    <row r="65" customFormat="false" ht="15" hidden="false" customHeight="false" outlineLevel="0" collapsed="false">
      <c r="B65" s="13" t="s">
        <v>266</v>
      </c>
      <c r="C65" s="13" t="n">
        <f aca="false">COUNTIF(B2:B60,"P1")</f>
        <v>21</v>
      </c>
    </row>
    <row r="66" customFormat="false" ht="15" hidden="false" customHeight="false" outlineLevel="0" collapsed="false">
      <c r="B66" s="13" t="s">
        <v>267</v>
      </c>
      <c r="C66" s="13" t="n">
        <f aca="false">COUNTIF(B2:B60,"P2")+COUNTIF(B2:B60,"P3")</f>
        <v>20</v>
      </c>
    </row>
    <row r="67" customFormat="false" ht="15" hidden="false" customHeight="false" outlineLevel="0" collapsed="false">
      <c r="B67" s="12" t="s">
        <v>268</v>
      </c>
      <c r="C67" s="13" t="n">
        <f aca="false">COUNTIF(J2:J60,"已完成")</f>
        <v>0</v>
      </c>
    </row>
    <row r="68" customFormat="false" ht="15" hidden="false" customHeight="false" outlineLevel="0" collapsed="false">
      <c r="B68" s="12" t="s">
        <v>269</v>
      </c>
      <c r="C68" s="14" t="n">
        <f aca="false">IFERROR(COUNTIF(J2:J60,"已完成")/COUNTA(A2:A60),0)</f>
        <v>0</v>
      </c>
    </row>
    <row r="69" customFormat="false" ht="15" hidden="false" customHeight="false" outlineLevel="0" collapsed="false">
      <c r="B69" s="15" t="s">
        <v>270</v>
      </c>
    </row>
  </sheetData>
  <autoFilter ref="A1:K60"/>
  <dataValidations count="1">
    <dataValidation allowBlank="true" errorStyle="stop" operator="between" showDropDown="false" showErrorMessage="false" showInputMessage="false" sqref="J2:J60" type="list">
      <formula1>"未开始,进行中,已完成,已阻塞,不做"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44"/>
    <col collapsed="false" customWidth="true" hidden="false" outlineLevel="0" max="8" min="8" style="0" width="13"/>
    <col collapsed="false" customWidth="true" hidden="false" outlineLevel="0" max="9" min="9" style="0" width="62"/>
    <col collapsed="false" customWidth="true" hidden="false" outlineLevel="0" max="10" min="10" style="0" width="9"/>
  </cols>
  <sheetData>
    <row r="1" customFormat="false" ht="30" hidden="false" customHeight="true" outlineLevel="0" collapsed="false">
      <c r="A1" s="2" t="s">
        <v>271</v>
      </c>
      <c r="B1" s="2" t="s">
        <v>272</v>
      </c>
      <c r="C1" s="2" t="s">
        <v>273</v>
      </c>
      <c r="D1" s="2" t="s">
        <v>274</v>
      </c>
      <c r="E1" s="2" t="s">
        <v>275</v>
      </c>
      <c r="F1" s="2" t="s">
        <v>276</v>
      </c>
      <c r="G1" s="2" t="s">
        <v>277</v>
      </c>
      <c r="H1" s="2" t="s">
        <v>4</v>
      </c>
      <c r="I1" s="1" t="s">
        <v>278</v>
      </c>
      <c r="J1" s="2" t="s">
        <v>1</v>
      </c>
    </row>
    <row r="2" customFormat="false" ht="15" hidden="false" customHeight="false" outlineLevel="0" collapsed="false">
      <c r="A2" s="3" t="s">
        <v>279</v>
      </c>
      <c r="B2" s="3" t="s">
        <v>280</v>
      </c>
      <c r="C2" s="5" t="s">
        <v>281</v>
      </c>
      <c r="D2" s="3" t="s">
        <v>282</v>
      </c>
      <c r="E2" s="3" t="s">
        <v>283</v>
      </c>
      <c r="F2" s="5" t="s">
        <v>284</v>
      </c>
      <c r="G2" s="3" t="s">
        <v>285</v>
      </c>
      <c r="H2" s="5" t="s">
        <v>286</v>
      </c>
      <c r="I2" s="5" t="s">
        <v>287</v>
      </c>
      <c r="J2" s="16" t="s">
        <v>183</v>
      </c>
    </row>
    <row r="3" customFormat="false" ht="15" hidden="false" customHeight="false" outlineLevel="0" collapsed="false">
      <c r="A3" s="3" t="s">
        <v>279</v>
      </c>
      <c r="B3" s="3" t="s">
        <v>288</v>
      </c>
      <c r="C3" s="5" t="s">
        <v>281</v>
      </c>
      <c r="D3" s="3" t="s">
        <v>289</v>
      </c>
      <c r="E3" s="3" t="s">
        <v>290</v>
      </c>
      <c r="F3" s="5" t="s">
        <v>291</v>
      </c>
      <c r="G3" s="3" t="s">
        <v>285</v>
      </c>
      <c r="H3" s="5" t="s">
        <v>286</v>
      </c>
      <c r="I3" s="5" t="s">
        <v>292</v>
      </c>
      <c r="J3" s="16" t="s">
        <v>183</v>
      </c>
    </row>
    <row r="4" customFormat="false" ht="15" hidden="false" customHeight="false" outlineLevel="0" collapsed="false">
      <c r="A4" s="3" t="s">
        <v>279</v>
      </c>
      <c r="B4" s="3" t="s">
        <v>293</v>
      </c>
      <c r="C4" s="5" t="s">
        <v>281</v>
      </c>
      <c r="D4" s="3" t="s">
        <v>294</v>
      </c>
      <c r="E4" s="3" t="s">
        <v>295</v>
      </c>
      <c r="F4" s="5" t="s">
        <v>291</v>
      </c>
      <c r="G4" s="3" t="s">
        <v>285</v>
      </c>
      <c r="H4" s="5" t="s">
        <v>286</v>
      </c>
      <c r="I4" s="5" t="s">
        <v>296</v>
      </c>
      <c r="J4" s="16" t="s">
        <v>183</v>
      </c>
    </row>
    <row r="5" customFormat="false" ht="15" hidden="false" customHeight="false" outlineLevel="0" collapsed="false">
      <c r="A5" s="3" t="s">
        <v>279</v>
      </c>
      <c r="B5" s="3" t="s">
        <v>297</v>
      </c>
      <c r="C5" s="5" t="s">
        <v>281</v>
      </c>
      <c r="D5" s="3" t="s">
        <v>298</v>
      </c>
      <c r="E5" s="3" t="s">
        <v>299</v>
      </c>
      <c r="F5" s="5" t="s">
        <v>291</v>
      </c>
      <c r="G5" s="3" t="s">
        <v>285</v>
      </c>
      <c r="H5" s="5" t="s">
        <v>286</v>
      </c>
      <c r="I5" s="5" t="s">
        <v>300</v>
      </c>
      <c r="J5" s="16" t="s">
        <v>183</v>
      </c>
    </row>
    <row r="6" customFormat="false" ht="15" hidden="false" customHeight="false" outlineLevel="0" collapsed="false">
      <c r="A6" s="3" t="s">
        <v>279</v>
      </c>
      <c r="B6" s="3" t="s">
        <v>301</v>
      </c>
      <c r="C6" s="5" t="s">
        <v>281</v>
      </c>
      <c r="D6" s="3" t="s">
        <v>302</v>
      </c>
      <c r="E6" s="3" t="s">
        <v>303</v>
      </c>
      <c r="F6" s="5" t="s">
        <v>291</v>
      </c>
      <c r="G6" s="3" t="s">
        <v>304</v>
      </c>
      <c r="H6" s="5" t="s">
        <v>305</v>
      </c>
      <c r="I6" s="5" t="s">
        <v>306</v>
      </c>
      <c r="J6" s="16" t="s">
        <v>183</v>
      </c>
    </row>
    <row r="7" customFormat="false" ht="23.85" hidden="false" customHeight="false" outlineLevel="0" collapsed="false">
      <c r="A7" s="3" t="s">
        <v>279</v>
      </c>
      <c r="B7" s="3" t="s">
        <v>307</v>
      </c>
      <c r="C7" s="5" t="s">
        <v>281</v>
      </c>
      <c r="D7" s="3" t="s">
        <v>308</v>
      </c>
      <c r="E7" s="3" t="s">
        <v>309</v>
      </c>
      <c r="F7" s="5" t="s">
        <v>310</v>
      </c>
      <c r="G7" s="3" t="s">
        <v>311</v>
      </c>
      <c r="H7" s="5" t="s">
        <v>312</v>
      </c>
      <c r="I7" s="5" t="s">
        <v>313</v>
      </c>
      <c r="J7" s="16" t="s">
        <v>183</v>
      </c>
    </row>
    <row r="8" customFormat="false" ht="29.85" hidden="false" customHeight="false" outlineLevel="0" collapsed="false">
      <c r="A8" s="17" t="s">
        <v>314</v>
      </c>
      <c r="B8" s="18" t="s">
        <v>315</v>
      </c>
      <c r="C8" s="18" t="s">
        <v>281</v>
      </c>
      <c r="D8" s="17" t="s">
        <v>316</v>
      </c>
      <c r="E8" s="17" t="s">
        <v>317</v>
      </c>
      <c r="F8" s="18" t="s">
        <v>318</v>
      </c>
      <c r="G8" s="17" t="s">
        <v>319</v>
      </c>
      <c r="H8" s="17" t="s">
        <v>319</v>
      </c>
      <c r="I8" s="18" t="s">
        <v>320</v>
      </c>
      <c r="J8" s="9" t="s">
        <v>183</v>
      </c>
    </row>
    <row r="9" customFormat="false" ht="29.85" hidden="false" customHeight="false" outlineLevel="0" collapsed="false">
      <c r="A9" s="5" t="s">
        <v>321</v>
      </c>
      <c r="B9" s="3" t="s">
        <v>322</v>
      </c>
      <c r="C9" s="5" t="s">
        <v>281</v>
      </c>
      <c r="D9" s="3" t="s">
        <v>319</v>
      </c>
      <c r="E9" s="3" t="s">
        <v>319</v>
      </c>
      <c r="F9" s="3" t="s">
        <v>323</v>
      </c>
      <c r="G9" s="3" t="s">
        <v>324</v>
      </c>
      <c r="H9" s="5" t="s">
        <v>286</v>
      </c>
      <c r="I9" s="5" t="s">
        <v>325</v>
      </c>
      <c r="J9" s="16" t="s">
        <v>183</v>
      </c>
    </row>
    <row r="10" customFormat="false" ht="29.85" hidden="false" customHeight="false" outlineLevel="0" collapsed="false">
      <c r="A10" s="5" t="s">
        <v>321</v>
      </c>
      <c r="B10" s="3" t="s">
        <v>326</v>
      </c>
      <c r="C10" s="5" t="s">
        <v>281</v>
      </c>
      <c r="D10" s="3" t="s">
        <v>327</v>
      </c>
      <c r="E10" s="3" t="s">
        <v>328</v>
      </c>
      <c r="F10" s="3" t="s">
        <v>323</v>
      </c>
      <c r="G10" s="3" t="s">
        <v>329</v>
      </c>
      <c r="H10" s="5" t="s">
        <v>286</v>
      </c>
      <c r="I10" s="3" t="s">
        <v>330</v>
      </c>
      <c r="J10" s="16" t="s">
        <v>183</v>
      </c>
    </row>
    <row r="11" customFormat="false" ht="29.85" hidden="false" customHeight="false" outlineLevel="0" collapsed="false">
      <c r="A11" s="5" t="s">
        <v>321</v>
      </c>
      <c r="B11" s="3" t="s">
        <v>331</v>
      </c>
      <c r="C11" s="5" t="s">
        <v>281</v>
      </c>
      <c r="D11" s="3" t="s">
        <v>319</v>
      </c>
      <c r="E11" s="3" t="s">
        <v>332</v>
      </c>
      <c r="F11" s="3" t="s">
        <v>333</v>
      </c>
      <c r="G11" s="3" t="s">
        <v>334</v>
      </c>
      <c r="H11" s="5" t="s">
        <v>312</v>
      </c>
      <c r="I11" s="5" t="s">
        <v>335</v>
      </c>
      <c r="J11" s="16" t="s">
        <v>183</v>
      </c>
    </row>
    <row r="12" customFormat="false" ht="29.85" hidden="false" customHeight="false" outlineLevel="0" collapsed="false">
      <c r="A12" s="5" t="s">
        <v>321</v>
      </c>
      <c r="B12" s="3" t="s">
        <v>336</v>
      </c>
      <c r="C12" s="5" t="s">
        <v>281</v>
      </c>
      <c r="D12" s="3" t="s">
        <v>337</v>
      </c>
      <c r="E12" s="3" t="s">
        <v>338</v>
      </c>
      <c r="F12" s="5" t="s">
        <v>339</v>
      </c>
      <c r="G12" s="3" t="s">
        <v>340</v>
      </c>
      <c r="H12" s="5" t="s">
        <v>341</v>
      </c>
      <c r="I12" s="5" t="s">
        <v>342</v>
      </c>
      <c r="J12" s="16" t="s">
        <v>183</v>
      </c>
    </row>
    <row r="13" customFormat="false" ht="29.85" hidden="false" customHeight="false" outlineLevel="0" collapsed="false">
      <c r="A13" s="5" t="s">
        <v>343</v>
      </c>
      <c r="B13" s="3" t="s">
        <v>344</v>
      </c>
      <c r="C13" s="5" t="s">
        <v>281</v>
      </c>
      <c r="D13" s="3" t="s">
        <v>319</v>
      </c>
      <c r="E13" s="3" t="s">
        <v>319</v>
      </c>
      <c r="F13" s="3" t="s">
        <v>345</v>
      </c>
      <c r="G13" s="3" t="s">
        <v>346</v>
      </c>
      <c r="H13" s="5" t="s">
        <v>286</v>
      </c>
      <c r="I13" s="3" t="s">
        <v>347</v>
      </c>
      <c r="J13" s="16" t="s">
        <v>183</v>
      </c>
    </row>
    <row r="14" customFormat="false" ht="29.85" hidden="false" customHeight="false" outlineLevel="0" collapsed="false">
      <c r="A14" s="5" t="s">
        <v>343</v>
      </c>
      <c r="B14" s="3" t="s">
        <v>348</v>
      </c>
      <c r="C14" s="5" t="s">
        <v>281</v>
      </c>
      <c r="D14" s="3" t="s">
        <v>319</v>
      </c>
      <c r="E14" s="3" t="s">
        <v>319</v>
      </c>
      <c r="F14" s="3" t="s">
        <v>345</v>
      </c>
      <c r="G14" s="3" t="s">
        <v>349</v>
      </c>
      <c r="H14" s="5" t="s">
        <v>286</v>
      </c>
      <c r="I14" s="3" t="s">
        <v>350</v>
      </c>
      <c r="J14" s="16" t="s">
        <v>183</v>
      </c>
    </row>
    <row r="15" customFormat="false" ht="29.85" hidden="false" customHeight="false" outlineLevel="0" collapsed="false">
      <c r="A15" s="5" t="s">
        <v>343</v>
      </c>
      <c r="B15" s="3" t="s">
        <v>351</v>
      </c>
      <c r="C15" s="5" t="s">
        <v>281</v>
      </c>
      <c r="D15" s="3" t="s">
        <v>319</v>
      </c>
      <c r="E15" s="3" t="s">
        <v>319</v>
      </c>
      <c r="F15" s="3" t="s">
        <v>345</v>
      </c>
      <c r="G15" s="3" t="s">
        <v>352</v>
      </c>
      <c r="H15" s="5" t="s">
        <v>286</v>
      </c>
      <c r="I15" s="3" t="s">
        <v>353</v>
      </c>
      <c r="J15" s="16" t="s">
        <v>183</v>
      </c>
    </row>
    <row r="16" customFormat="false" ht="29.85" hidden="false" customHeight="false" outlineLevel="0" collapsed="false">
      <c r="A16" s="5" t="s">
        <v>343</v>
      </c>
      <c r="B16" s="3" t="s">
        <v>354</v>
      </c>
      <c r="C16" s="5" t="s">
        <v>281</v>
      </c>
      <c r="D16" s="3" t="s">
        <v>319</v>
      </c>
      <c r="E16" s="3" t="s">
        <v>319</v>
      </c>
      <c r="F16" s="3" t="s">
        <v>345</v>
      </c>
      <c r="G16" s="3" t="s">
        <v>355</v>
      </c>
      <c r="H16" s="5" t="s">
        <v>286</v>
      </c>
      <c r="I16" s="3" t="s">
        <v>356</v>
      </c>
      <c r="J16" s="16" t="s">
        <v>183</v>
      </c>
    </row>
    <row r="17" customFormat="false" ht="60.4" hidden="false" customHeight="false" outlineLevel="0" collapsed="false">
      <c r="A17" s="18" t="s">
        <v>357</v>
      </c>
      <c r="B17" s="18" t="s">
        <v>358</v>
      </c>
      <c r="C17" s="18" t="s">
        <v>281</v>
      </c>
      <c r="D17" s="17" t="s">
        <v>319</v>
      </c>
      <c r="E17" s="17" t="s">
        <v>319</v>
      </c>
      <c r="F17" s="18" t="s">
        <v>359</v>
      </c>
      <c r="G17" s="17" t="s">
        <v>319</v>
      </c>
      <c r="H17" s="18" t="s">
        <v>359</v>
      </c>
      <c r="I17" s="18" t="s">
        <v>360</v>
      </c>
      <c r="J17" s="10" t="s">
        <v>257</v>
      </c>
    </row>
    <row r="18" customFormat="false" ht="29.85" hidden="false" customHeight="false" outlineLevel="0" collapsed="false">
      <c r="A18" s="5" t="s">
        <v>361</v>
      </c>
      <c r="B18" s="3" t="s">
        <v>362</v>
      </c>
      <c r="C18" s="5" t="s">
        <v>363</v>
      </c>
      <c r="D18" s="3" t="s">
        <v>364</v>
      </c>
      <c r="E18" s="3" t="s">
        <v>319</v>
      </c>
      <c r="F18" s="3" t="s">
        <v>365</v>
      </c>
      <c r="G18" s="3" t="s">
        <v>366</v>
      </c>
      <c r="H18" s="5" t="s">
        <v>341</v>
      </c>
      <c r="I18" s="5" t="s">
        <v>367</v>
      </c>
      <c r="J18" s="16" t="s">
        <v>183</v>
      </c>
    </row>
    <row r="19" customFormat="false" ht="29.85" hidden="false" customHeight="false" outlineLevel="0" collapsed="false">
      <c r="A19" s="5" t="s">
        <v>361</v>
      </c>
      <c r="B19" s="3" t="s">
        <v>368</v>
      </c>
      <c r="C19" s="5" t="s">
        <v>363</v>
      </c>
      <c r="D19" s="3" t="s">
        <v>319</v>
      </c>
      <c r="E19" s="3" t="s">
        <v>319</v>
      </c>
      <c r="F19" s="3" t="s">
        <v>365</v>
      </c>
      <c r="G19" s="5" t="s">
        <v>286</v>
      </c>
      <c r="H19" s="5" t="s">
        <v>286</v>
      </c>
      <c r="I19" s="5" t="s">
        <v>369</v>
      </c>
      <c r="J19" s="16" t="s">
        <v>183</v>
      </c>
    </row>
    <row r="20" customFormat="false" ht="23.85" hidden="false" customHeight="false" outlineLevel="0" collapsed="false">
      <c r="A20" s="5" t="s">
        <v>361</v>
      </c>
      <c r="B20" s="3" t="s">
        <v>370</v>
      </c>
      <c r="C20" s="5" t="s">
        <v>363</v>
      </c>
      <c r="D20" s="3" t="s">
        <v>319</v>
      </c>
      <c r="E20" s="3" t="s">
        <v>319</v>
      </c>
      <c r="F20" s="3" t="s">
        <v>365</v>
      </c>
      <c r="G20" s="5" t="s">
        <v>286</v>
      </c>
      <c r="H20" s="5" t="s">
        <v>286</v>
      </c>
      <c r="I20" s="5" t="s">
        <v>371</v>
      </c>
      <c r="J20" s="16" t="s">
        <v>183</v>
      </c>
    </row>
    <row r="21" customFormat="false" ht="23.85" hidden="false" customHeight="false" outlineLevel="0" collapsed="false">
      <c r="A21" s="5" t="s">
        <v>361</v>
      </c>
      <c r="B21" s="3" t="s">
        <v>372</v>
      </c>
      <c r="C21" s="5" t="s">
        <v>363</v>
      </c>
      <c r="D21" s="3" t="s">
        <v>319</v>
      </c>
      <c r="E21" s="3" t="s">
        <v>319</v>
      </c>
      <c r="F21" s="3" t="s">
        <v>365</v>
      </c>
      <c r="G21" s="5" t="s">
        <v>286</v>
      </c>
      <c r="H21" s="5" t="s">
        <v>286</v>
      </c>
      <c r="I21" s="5" t="s">
        <v>373</v>
      </c>
      <c r="J21" s="16" t="s">
        <v>183</v>
      </c>
    </row>
    <row r="22" customFormat="false" ht="15" hidden="false" customHeight="false" outlineLevel="0" collapsed="false">
      <c r="A22" s="5" t="s">
        <v>361</v>
      </c>
      <c r="B22" s="3" t="s">
        <v>374</v>
      </c>
      <c r="C22" s="5" t="s">
        <v>363</v>
      </c>
      <c r="D22" s="3" t="s">
        <v>319</v>
      </c>
      <c r="E22" s="3" t="s">
        <v>319</v>
      </c>
      <c r="F22" s="3" t="s">
        <v>365</v>
      </c>
      <c r="G22" s="3" t="s">
        <v>375</v>
      </c>
      <c r="H22" s="5" t="s">
        <v>341</v>
      </c>
      <c r="I22" s="5" t="s">
        <v>376</v>
      </c>
      <c r="J22" s="16" t="s">
        <v>183</v>
      </c>
    </row>
    <row r="23" customFormat="false" ht="23.85" hidden="false" customHeight="false" outlineLevel="0" collapsed="false">
      <c r="A23" s="5" t="s">
        <v>361</v>
      </c>
      <c r="B23" s="3" t="s">
        <v>377</v>
      </c>
      <c r="C23" s="5" t="s">
        <v>363</v>
      </c>
      <c r="D23" s="3" t="s">
        <v>319</v>
      </c>
      <c r="E23" s="3" t="s">
        <v>319</v>
      </c>
      <c r="F23" s="3" t="s">
        <v>365</v>
      </c>
      <c r="G23" s="5" t="s">
        <v>286</v>
      </c>
      <c r="H23" s="5" t="s">
        <v>286</v>
      </c>
      <c r="I23" s="5" t="s">
        <v>378</v>
      </c>
      <c r="J23" s="16" t="s">
        <v>183</v>
      </c>
    </row>
    <row r="24" customFormat="false" ht="29.85" hidden="false" customHeight="false" outlineLevel="0" collapsed="false">
      <c r="A24" s="5" t="s">
        <v>361</v>
      </c>
      <c r="B24" s="3" t="s">
        <v>379</v>
      </c>
      <c r="C24" s="5" t="s">
        <v>363</v>
      </c>
      <c r="D24" s="3" t="s">
        <v>337</v>
      </c>
      <c r="E24" s="3" t="s">
        <v>380</v>
      </c>
      <c r="F24" s="3" t="s">
        <v>365</v>
      </c>
      <c r="G24" s="3" t="s">
        <v>381</v>
      </c>
      <c r="H24" s="5" t="s">
        <v>341</v>
      </c>
      <c r="I24" s="5" t="s">
        <v>382</v>
      </c>
      <c r="J24" s="16" t="s">
        <v>183</v>
      </c>
    </row>
    <row r="25" customFormat="false" ht="29.85" hidden="false" customHeight="false" outlineLevel="0" collapsed="false">
      <c r="A25" s="5" t="s">
        <v>361</v>
      </c>
      <c r="B25" s="3" t="s">
        <v>383</v>
      </c>
      <c r="C25" s="5" t="s">
        <v>363</v>
      </c>
      <c r="D25" s="3" t="s">
        <v>319</v>
      </c>
      <c r="E25" s="3" t="s">
        <v>319</v>
      </c>
      <c r="F25" s="3" t="s">
        <v>365</v>
      </c>
      <c r="G25" s="5" t="s">
        <v>384</v>
      </c>
      <c r="H25" s="5" t="s">
        <v>286</v>
      </c>
      <c r="I25" s="3" t="s">
        <v>385</v>
      </c>
      <c r="J25" s="16" t="s">
        <v>183</v>
      </c>
    </row>
    <row r="26" customFormat="false" ht="15" hidden="false" customHeight="false" outlineLevel="0" collapsed="false">
      <c r="A26" s="5" t="s">
        <v>361</v>
      </c>
      <c r="B26" s="3" t="s">
        <v>386</v>
      </c>
      <c r="C26" s="5" t="s">
        <v>363</v>
      </c>
      <c r="D26" s="3" t="s">
        <v>319</v>
      </c>
      <c r="E26" s="3" t="s">
        <v>319</v>
      </c>
      <c r="F26" s="3" t="s">
        <v>365</v>
      </c>
      <c r="G26" s="3" t="s">
        <v>387</v>
      </c>
      <c r="H26" s="5" t="s">
        <v>312</v>
      </c>
      <c r="I26" s="3" t="s">
        <v>388</v>
      </c>
      <c r="J26" s="16" t="s">
        <v>183</v>
      </c>
    </row>
    <row r="27" customFormat="false" ht="29.85" hidden="false" customHeight="false" outlineLevel="0" collapsed="false">
      <c r="A27" s="5" t="s">
        <v>361</v>
      </c>
      <c r="B27" s="3" t="s">
        <v>389</v>
      </c>
      <c r="C27" s="5" t="s">
        <v>363</v>
      </c>
      <c r="D27" s="3" t="s">
        <v>319</v>
      </c>
      <c r="E27" s="3" t="s">
        <v>319</v>
      </c>
      <c r="F27" s="5" t="s">
        <v>310</v>
      </c>
      <c r="G27" s="5" t="s">
        <v>384</v>
      </c>
      <c r="H27" s="5" t="s">
        <v>286</v>
      </c>
      <c r="I27" s="3" t="s">
        <v>390</v>
      </c>
      <c r="J27" s="19" t="s">
        <v>257</v>
      </c>
    </row>
    <row r="28" customFormat="false" ht="29.85" hidden="false" customHeight="false" outlineLevel="0" collapsed="false">
      <c r="A28" s="5" t="s">
        <v>391</v>
      </c>
      <c r="B28" s="3" t="s">
        <v>392</v>
      </c>
      <c r="C28" s="5" t="s">
        <v>281</v>
      </c>
      <c r="D28" s="3" t="s">
        <v>319</v>
      </c>
      <c r="E28" s="3" t="s">
        <v>319</v>
      </c>
      <c r="F28" s="3" t="s">
        <v>393</v>
      </c>
      <c r="G28" s="5" t="s">
        <v>286</v>
      </c>
      <c r="H28" s="5" t="s">
        <v>286</v>
      </c>
      <c r="I28" s="5" t="s">
        <v>394</v>
      </c>
      <c r="J28" s="19" t="s">
        <v>257</v>
      </c>
    </row>
    <row r="29" customFormat="false" ht="44" hidden="false" customHeight="false" outlineLevel="0" collapsed="false">
      <c r="A29" s="5" t="s">
        <v>391</v>
      </c>
      <c r="B29" s="3" t="s">
        <v>395</v>
      </c>
      <c r="C29" s="5" t="s">
        <v>281</v>
      </c>
      <c r="D29" s="3" t="s">
        <v>319</v>
      </c>
      <c r="E29" s="3" t="s">
        <v>319</v>
      </c>
      <c r="F29" s="3" t="s">
        <v>393</v>
      </c>
      <c r="G29" s="5" t="s">
        <v>286</v>
      </c>
      <c r="H29" s="5" t="s">
        <v>286</v>
      </c>
      <c r="I29" s="5" t="s">
        <v>396</v>
      </c>
      <c r="J29" s="19" t="s">
        <v>257</v>
      </c>
    </row>
    <row r="30" customFormat="false" ht="29.85" hidden="false" customHeight="false" outlineLevel="0" collapsed="false">
      <c r="A30" s="5" t="s">
        <v>391</v>
      </c>
      <c r="B30" s="3" t="s">
        <v>397</v>
      </c>
      <c r="C30" s="5" t="s">
        <v>363</v>
      </c>
      <c r="D30" s="3" t="s">
        <v>319</v>
      </c>
      <c r="E30" s="3" t="s">
        <v>319</v>
      </c>
      <c r="F30" s="3" t="s">
        <v>393</v>
      </c>
      <c r="G30" s="5" t="s">
        <v>286</v>
      </c>
      <c r="H30" s="5" t="s">
        <v>286</v>
      </c>
      <c r="I30" s="5" t="s">
        <v>398</v>
      </c>
      <c r="J30" s="19" t="s">
        <v>257</v>
      </c>
    </row>
    <row r="31" customFormat="false" ht="15" hidden="false" customHeight="false" outlineLevel="0" collapsed="false">
      <c r="A31" s="5" t="s">
        <v>391</v>
      </c>
      <c r="B31" s="3" t="s">
        <v>399</v>
      </c>
      <c r="C31" s="5" t="s">
        <v>363</v>
      </c>
      <c r="D31" s="3" t="s">
        <v>319</v>
      </c>
      <c r="E31" s="3" t="s">
        <v>319</v>
      </c>
      <c r="F31" s="3" t="s">
        <v>393</v>
      </c>
      <c r="G31" s="5" t="s">
        <v>286</v>
      </c>
      <c r="H31" s="5" t="s">
        <v>286</v>
      </c>
      <c r="I31" s="5" t="s">
        <v>400</v>
      </c>
      <c r="J31" s="19" t="s">
        <v>257</v>
      </c>
    </row>
    <row r="32" customFormat="false" ht="15" hidden="false" customHeight="false" outlineLevel="0" collapsed="false">
      <c r="A32" s="5" t="s">
        <v>391</v>
      </c>
      <c r="B32" s="3" t="s">
        <v>401</v>
      </c>
      <c r="C32" s="5" t="s">
        <v>363</v>
      </c>
      <c r="D32" s="3" t="s">
        <v>319</v>
      </c>
      <c r="E32" s="3" t="s">
        <v>319</v>
      </c>
      <c r="F32" s="3" t="s">
        <v>393</v>
      </c>
      <c r="G32" s="5" t="s">
        <v>286</v>
      </c>
      <c r="H32" s="5" t="s">
        <v>286</v>
      </c>
      <c r="I32" s="5" t="s">
        <v>402</v>
      </c>
      <c r="J32" s="19" t="s">
        <v>257</v>
      </c>
    </row>
    <row r="33" customFormat="false" ht="29.85" hidden="false" customHeight="false" outlineLevel="0" collapsed="false">
      <c r="A33" s="5" t="s">
        <v>391</v>
      </c>
      <c r="B33" s="3" t="s">
        <v>403</v>
      </c>
      <c r="C33" s="5" t="s">
        <v>363</v>
      </c>
      <c r="D33" s="3" t="s">
        <v>319</v>
      </c>
      <c r="E33" s="3" t="s">
        <v>319</v>
      </c>
      <c r="F33" s="3" t="s">
        <v>393</v>
      </c>
      <c r="G33" s="5" t="s">
        <v>286</v>
      </c>
      <c r="H33" s="5" t="s">
        <v>286</v>
      </c>
      <c r="I33" s="5" t="s">
        <v>404</v>
      </c>
      <c r="J33" s="19" t="s">
        <v>257</v>
      </c>
    </row>
    <row r="34" customFormat="false" ht="29.85" hidden="false" customHeight="false" outlineLevel="0" collapsed="false">
      <c r="A34" s="5" t="s">
        <v>391</v>
      </c>
      <c r="B34" s="3" t="s">
        <v>405</v>
      </c>
      <c r="C34" s="5" t="s">
        <v>363</v>
      </c>
      <c r="D34" s="3" t="s">
        <v>319</v>
      </c>
      <c r="E34" s="3" t="s">
        <v>319</v>
      </c>
      <c r="F34" s="3" t="s">
        <v>393</v>
      </c>
      <c r="G34" s="5" t="s">
        <v>286</v>
      </c>
      <c r="H34" s="5" t="s">
        <v>286</v>
      </c>
      <c r="I34" s="3" t="s">
        <v>406</v>
      </c>
      <c r="J34" s="19" t="s">
        <v>257</v>
      </c>
    </row>
    <row r="35" customFormat="false" ht="29.85" hidden="false" customHeight="false" outlineLevel="0" collapsed="false">
      <c r="A35" s="5" t="s">
        <v>391</v>
      </c>
      <c r="B35" s="3" t="s">
        <v>407</v>
      </c>
      <c r="C35" s="5" t="s">
        <v>363</v>
      </c>
      <c r="D35" s="3" t="s">
        <v>319</v>
      </c>
      <c r="E35" s="3" t="s">
        <v>319</v>
      </c>
      <c r="F35" s="3" t="s">
        <v>393</v>
      </c>
      <c r="G35" s="5" t="s">
        <v>286</v>
      </c>
      <c r="H35" s="5" t="s">
        <v>286</v>
      </c>
      <c r="I35" s="5" t="s">
        <v>408</v>
      </c>
      <c r="J35" s="19" t="s">
        <v>257</v>
      </c>
    </row>
    <row r="36" customFormat="false" ht="29.85" hidden="false" customHeight="false" outlineLevel="0" collapsed="false">
      <c r="A36" s="5" t="s">
        <v>391</v>
      </c>
      <c r="B36" s="3" t="s">
        <v>409</v>
      </c>
      <c r="C36" s="5" t="s">
        <v>363</v>
      </c>
      <c r="D36" s="3" t="s">
        <v>319</v>
      </c>
      <c r="E36" s="3" t="s">
        <v>319</v>
      </c>
      <c r="F36" s="3" t="s">
        <v>393</v>
      </c>
      <c r="G36" s="5" t="s">
        <v>286</v>
      </c>
      <c r="H36" s="5" t="s">
        <v>286</v>
      </c>
      <c r="I36" s="3" t="s">
        <v>410</v>
      </c>
      <c r="J36" s="19" t="s">
        <v>257</v>
      </c>
    </row>
    <row r="37" customFormat="false" ht="44" hidden="false" customHeight="false" outlineLevel="0" collapsed="false">
      <c r="A37" s="5" t="s">
        <v>411</v>
      </c>
      <c r="B37" s="3" t="s">
        <v>412</v>
      </c>
      <c r="C37" s="5" t="s">
        <v>281</v>
      </c>
      <c r="D37" s="3" t="s">
        <v>319</v>
      </c>
      <c r="E37" s="3" t="s">
        <v>319</v>
      </c>
      <c r="F37" s="5" t="s">
        <v>413</v>
      </c>
      <c r="G37" s="3" t="s">
        <v>414</v>
      </c>
      <c r="H37" s="5" t="s">
        <v>286</v>
      </c>
      <c r="I37" s="5" t="s">
        <v>415</v>
      </c>
      <c r="J37" s="19" t="s">
        <v>257</v>
      </c>
    </row>
    <row r="38" customFormat="false" ht="44" hidden="false" customHeight="false" outlineLevel="0" collapsed="false">
      <c r="A38" s="5" t="s">
        <v>411</v>
      </c>
      <c r="B38" s="3" t="s">
        <v>416</v>
      </c>
      <c r="C38" s="5" t="s">
        <v>281</v>
      </c>
      <c r="D38" s="3" t="s">
        <v>319</v>
      </c>
      <c r="E38" s="3" t="s">
        <v>319</v>
      </c>
      <c r="F38" s="5" t="s">
        <v>413</v>
      </c>
      <c r="G38" s="3" t="s">
        <v>417</v>
      </c>
      <c r="H38" s="5" t="s">
        <v>286</v>
      </c>
      <c r="I38" s="5" t="s">
        <v>418</v>
      </c>
      <c r="J38" s="19" t="s">
        <v>257</v>
      </c>
    </row>
    <row r="39" customFormat="false" ht="44" hidden="false" customHeight="false" outlineLevel="0" collapsed="false">
      <c r="A39" s="5" t="s">
        <v>411</v>
      </c>
      <c r="B39" s="3" t="s">
        <v>419</v>
      </c>
      <c r="C39" s="5" t="s">
        <v>281</v>
      </c>
      <c r="D39" s="3" t="s">
        <v>319</v>
      </c>
      <c r="E39" s="3" t="s">
        <v>319</v>
      </c>
      <c r="F39" s="5" t="s">
        <v>413</v>
      </c>
      <c r="G39" s="3" t="s">
        <v>420</v>
      </c>
      <c r="H39" s="5" t="s">
        <v>286</v>
      </c>
      <c r="I39" s="5" t="s">
        <v>421</v>
      </c>
      <c r="J39" s="19" t="s">
        <v>257</v>
      </c>
    </row>
    <row r="40" customFormat="false" ht="29.85" hidden="false" customHeight="false" outlineLevel="0" collapsed="false">
      <c r="A40" s="20" t="s">
        <v>422</v>
      </c>
      <c r="B40" s="21" t="s">
        <v>423</v>
      </c>
      <c r="C40" s="20" t="s">
        <v>281</v>
      </c>
      <c r="D40" s="21" t="s">
        <v>289</v>
      </c>
      <c r="E40" s="21" t="s">
        <v>424</v>
      </c>
      <c r="F40" s="21" t="s">
        <v>425</v>
      </c>
      <c r="G40" s="21" t="s">
        <v>319</v>
      </c>
      <c r="H40" s="20" t="s">
        <v>426</v>
      </c>
      <c r="I40" s="20" t="s">
        <v>427</v>
      </c>
      <c r="J40" s="22" t="s">
        <v>257</v>
      </c>
    </row>
    <row r="41" customFormat="false" ht="29.85" hidden="false" customHeight="false" outlineLevel="0" collapsed="false">
      <c r="A41" s="20" t="s">
        <v>422</v>
      </c>
      <c r="B41" s="21" t="s">
        <v>428</v>
      </c>
      <c r="C41" s="20" t="s">
        <v>281</v>
      </c>
      <c r="D41" s="21" t="s">
        <v>429</v>
      </c>
      <c r="E41" s="21" t="s">
        <v>430</v>
      </c>
      <c r="F41" s="21" t="s">
        <v>425</v>
      </c>
      <c r="G41" s="21" t="s">
        <v>319</v>
      </c>
      <c r="H41" s="20" t="s">
        <v>426</v>
      </c>
      <c r="I41" s="21" t="s">
        <v>431</v>
      </c>
      <c r="J41" s="22" t="s">
        <v>257</v>
      </c>
    </row>
    <row r="42" customFormat="false" ht="29.85" hidden="false" customHeight="false" outlineLevel="0" collapsed="false">
      <c r="A42" s="20" t="s">
        <v>422</v>
      </c>
      <c r="B42" s="21" t="s">
        <v>432</v>
      </c>
      <c r="C42" s="20" t="s">
        <v>281</v>
      </c>
      <c r="D42" s="21" t="s">
        <v>433</v>
      </c>
      <c r="E42" s="21" t="s">
        <v>434</v>
      </c>
      <c r="F42" s="21" t="s">
        <v>435</v>
      </c>
      <c r="G42" s="21" t="s">
        <v>319</v>
      </c>
      <c r="H42" s="20" t="s">
        <v>426</v>
      </c>
      <c r="I42" s="20" t="s">
        <v>436</v>
      </c>
      <c r="J42" s="22" t="s">
        <v>257</v>
      </c>
    </row>
    <row r="43" customFormat="false" ht="29.85" hidden="false" customHeight="false" outlineLevel="0" collapsed="false">
      <c r="A43" s="20" t="s">
        <v>422</v>
      </c>
      <c r="B43" s="21" t="s">
        <v>437</v>
      </c>
      <c r="C43" s="20" t="s">
        <v>281</v>
      </c>
      <c r="D43" s="21" t="s">
        <v>319</v>
      </c>
      <c r="E43" s="21" t="s">
        <v>319</v>
      </c>
      <c r="F43" s="20" t="s">
        <v>426</v>
      </c>
      <c r="G43" s="21" t="s">
        <v>319</v>
      </c>
      <c r="H43" s="20" t="s">
        <v>426</v>
      </c>
      <c r="I43" s="21" t="s">
        <v>438</v>
      </c>
      <c r="J43" s="22" t="s">
        <v>257</v>
      </c>
    </row>
    <row r="44" customFormat="false" ht="29.85" hidden="false" customHeight="false" outlineLevel="0" collapsed="false">
      <c r="A44" s="20" t="s">
        <v>422</v>
      </c>
      <c r="B44" s="21" t="s">
        <v>439</v>
      </c>
      <c r="C44" s="20" t="s">
        <v>281</v>
      </c>
      <c r="D44" s="21" t="s">
        <v>319</v>
      </c>
      <c r="E44" s="21" t="s">
        <v>319</v>
      </c>
      <c r="F44" s="20" t="s">
        <v>426</v>
      </c>
      <c r="G44" s="21" t="s">
        <v>319</v>
      </c>
      <c r="H44" s="20" t="s">
        <v>426</v>
      </c>
      <c r="I44" s="20" t="s">
        <v>440</v>
      </c>
      <c r="J44" s="22" t="s">
        <v>257</v>
      </c>
    </row>
    <row r="45" customFormat="false" ht="29.85" hidden="false" customHeight="false" outlineLevel="0" collapsed="false">
      <c r="A45" s="20" t="s">
        <v>422</v>
      </c>
      <c r="B45" s="21" t="s">
        <v>441</v>
      </c>
      <c r="C45" s="20" t="s">
        <v>281</v>
      </c>
      <c r="D45" s="21" t="s">
        <v>442</v>
      </c>
      <c r="E45" s="21" t="s">
        <v>443</v>
      </c>
      <c r="F45" s="20" t="s">
        <v>444</v>
      </c>
      <c r="G45" s="21" t="s">
        <v>445</v>
      </c>
      <c r="H45" s="20" t="s">
        <v>446</v>
      </c>
      <c r="I45" s="20" t="s">
        <v>447</v>
      </c>
      <c r="J45" s="22" t="s">
        <v>257</v>
      </c>
    </row>
    <row r="46" customFormat="false" ht="35.05" hidden="false" customHeight="false" outlineLevel="0" collapsed="false">
      <c r="A46" s="20" t="s">
        <v>448</v>
      </c>
      <c r="B46" s="21" t="s">
        <v>449</v>
      </c>
      <c r="C46" s="20" t="s">
        <v>363</v>
      </c>
      <c r="D46" s="21" t="s">
        <v>319</v>
      </c>
      <c r="E46" s="21" t="s">
        <v>319</v>
      </c>
      <c r="F46" s="21" t="s">
        <v>450</v>
      </c>
      <c r="G46" s="21" t="s">
        <v>319</v>
      </c>
      <c r="H46" s="20" t="s">
        <v>451</v>
      </c>
      <c r="I46" s="20" t="s">
        <v>452</v>
      </c>
      <c r="J46" s="22" t="s">
        <v>257</v>
      </c>
    </row>
    <row r="47" customFormat="false" ht="41" hidden="false" customHeight="false" outlineLevel="0" collapsed="false">
      <c r="A47" s="20" t="s">
        <v>448</v>
      </c>
      <c r="B47" s="21" t="s">
        <v>453</v>
      </c>
      <c r="C47" s="20" t="s">
        <v>363</v>
      </c>
      <c r="D47" s="21" t="s">
        <v>319</v>
      </c>
      <c r="E47" s="21" t="s">
        <v>319</v>
      </c>
      <c r="F47" s="20" t="s">
        <v>451</v>
      </c>
      <c r="G47" s="21" t="s">
        <v>319</v>
      </c>
      <c r="H47" s="20" t="s">
        <v>451</v>
      </c>
      <c r="I47" s="21" t="s">
        <v>454</v>
      </c>
      <c r="J47" s="22" t="s">
        <v>257</v>
      </c>
    </row>
    <row r="48" customFormat="false" ht="29.85" hidden="false" customHeight="false" outlineLevel="0" collapsed="false">
      <c r="A48" s="20" t="s">
        <v>455</v>
      </c>
      <c r="B48" s="21" t="s">
        <v>456</v>
      </c>
      <c r="C48" s="20" t="s">
        <v>457</v>
      </c>
      <c r="D48" s="21" t="s">
        <v>319</v>
      </c>
      <c r="E48" s="21" t="s">
        <v>319</v>
      </c>
      <c r="F48" s="20" t="s">
        <v>458</v>
      </c>
      <c r="G48" s="21" t="s">
        <v>319</v>
      </c>
      <c r="H48" s="20" t="s">
        <v>458</v>
      </c>
      <c r="I48" s="21" t="s">
        <v>459</v>
      </c>
      <c r="J48" s="22" t="s">
        <v>257</v>
      </c>
    </row>
  </sheetData>
  <autoFilter ref="A1:J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2" min="10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34"/>
  </cols>
  <sheetData>
    <row r="1" customFormat="false" ht="15" hidden="false" customHeight="false" outlineLevel="0" collapsed="false">
      <c r="A1" s="23" t="s">
        <v>460</v>
      </c>
    </row>
    <row r="2" customFormat="false" ht="30" hidden="false" customHeight="true" outlineLevel="0" collapsed="false">
      <c r="A2" s="2" t="s">
        <v>461</v>
      </c>
      <c r="B2" s="2" t="s">
        <v>462</v>
      </c>
      <c r="C2" s="2" t="s">
        <v>463</v>
      </c>
      <c r="D2" s="2" t="s">
        <v>464</v>
      </c>
      <c r="E2" s="2" t="s">
        <v>465</v>
      </c>
      <c r="F2" s="2" t="s">
        <v>466</v>
      </c>
      <c r="G2" s="2" t="s">
        <v>467</v>
      </c>
      <c r="H2" s="2" t="s">
        <v>468</v>
      </c>
      <c r="I2" s="1" t="s">
        <v>469</v>
      </c>
      <c r="J2" s="1" t="s">
        <v>470</v>
      </c>
      <c r="K2" s="1" t="s">
        <v>471</v>
      </c>
      <c r="L2" s="1" t="s">
        <v>472</v>
      </c>
      <c r="M2" s="2" t="s">
        <v>473</v>
      </c>
      <c r="N2" s="2" t="s">
        <v>474</v>
      </c>
      <c r="O2" s="2" t="s">
        <v>475</v>
      </c>
      <c r="P2" s="2" t="s">
        <v>476</v>
      </c>
      <c r="Q2" s="2" t="s">
        <v>477</v>
      </c>
    </row>
    <row r="3" customFormat="false" ht="29.85" hidden="false" customHeight="false" outlineLevel="0" collapsed="false">
      <c r="A3" s="24" t="s">
        <v>478</v>
      </c>
      <c r="B3" s="24" t="n">
        <v>3465</v>
      </c>
      <c r="C3" s="24" t="n">
        <v>4</v>
      </c>
      <c r="D3" s="25" t="n">
        <f aca="false">IFERROR(C3/B3,"")</f>
        <v>0.00115440115440115</v>
      </c>
      <c r="E3" s="24" t="n">
        <v>35.3</v>
      </c>
      <c r="F3" s="24" t="n">
        <v>57</v>
      </c>
      <c r="G3" s="24" t="n">
        <v>63</v>
      </c>
      <c r="H3" s="26" t="n">
        <f aca="false">IFERROR(F3/(F3+G3),"")</f>
        <v>0.475</v>
      </c>
      <c r="I3" s="24"/>
      <c r="J3" s="24"/>
      <c r="K3" s="24"/>
      <c r="L3" s="24"/>
      <c r="M3" s="24"/>
      <c r="N3" s="27" t="n">
        <f aca="false">IFERROR(SUM(I3,J3,L3,M3),"")</f>
        <v>0</v>
      </c>
      <c r="O3" s="24"/>
      <c r="P3" s="24"/>
      <c r="Q3" s="5" t="s">
        <v>479</v>
      </c>
    </row>
    <row r="4" customFormat="false" ht="15" hidden="false" customHeight="false" outlineLevel="0" collapsed="false">
      <c r="A4" s="28"/>
      <c r="B4" s="28"/>
      <c r="C4" s="28"/>
      <c r="D4" s="25" t="str">
        <f aca="false">IFERROR(C4/B4,"")</f>
        <v/>
      </c>
      <c r="E4" s="28"/>
      <c r="F4" s="28"/>
      <c r="G4" s="28"/>
      <c r="H4" s="26" t="str">
        <f aca="false">IFERROR(F4/(F4+G4),"")</f>
        <v/>
      </c>
      <c r="I4" s="28"/>
      <c r="J4" s="28"/>
      <c r="K4" s="28"/>
      <c r="L4" s="28"/>
      <c r="M4" s="28"/>
      <c r="N4" s="27" t="n">
        <f aca="false">IFERROR(SUM(I4,J4,L4,M4),"")</f>
        <v>0</v>
      </c>
      <c r="O4" s="28"/>
      <c r="P4" s="28"/>
      <c r="Q4" s="6"/>
    </row>
    <row r="5" customFormat="false" ht="15" hidden="false" customHeight="false" outlineLevel="0" collapsed="false">
      <c r="A5" s="28"/>
      <c r="B5" s="28"/>
      <c r="C5" s="28"/>
      <c r="D5" s="25" t="str">
        <f aca="false">IFERROR(C5/B5,"")</f>
        <v/>
      </c>
      <c r="E5" s="28"/>
      <c r="F5" s="28"/>
      <c r="G5" s="28"/>
      <c r="H5" s="26" t="str">
        <f aca="false">IFERROR(F5/(F5+G5),"")</f>
        <v/>
      </c>
      <c r="I5" s="28"/>
      <c r="J5" s="28"/>
      <c r="K5" s="28"/>
      <c r="L5" s="28"/>
      <c r="M5" s="28"/>
      <c r="N5" s="27" t="n">
        <f aca="false">IFERROR(SUM(I5,J5,L5,M5),"")</f>
        <v>0</v>
      </c>
      <c r="O5" s="28"/>
      <c r="P5" s="28"/>
      <c r="Q5" s="6"/>
    </row>
    <row r="6" customFormat="false" ht="15" hidden="false" customHeight="false" outlineLevel="0" collapsed="false">
      <c r="A6" s="28"/>
      <c r="B6" s="28"/>
      <c r="C6" s="28"/>
      <c r="D6" s="25" t="str">
        <f aca="false">IFERROR(C6/B6,"")</f>
        <v/>
      </c>
      <c r="E6" s="28"/>
      <c r="F6" s="28"/>
      <c r="G6" s="28"/>
      <c r="H6" s="26" t="str">
        <f aca="false">IFERROR(F6/(F6+G6),"")</f>
        <v/>
      </c>
      <c r="I6" s="28"/>
      <c r="J6" s="28"/>
      <c r="K6" s="28"/>
      <c r="L6" s="28"/>
      <c r="M6" s="28"/>
      <c r="N6" s="27" t="n">
        <f aca="false">IFERROR(SUM(I6,J6,L6,M6),"")</f>
        <v>0</v>
      </c>
      <c r="O6" s="28"/>
      <c r="P6" s="28"/>
      <c r="Q6" s="6"/>
    </row>
    <row r="7" customFormat="false" ht="15" hidden="false" customHeight="false" outlineLevel="0" collapsed="false">
      <c r="A7" s="28"/>
      <c r="B7" s="28"/>
      <c r="C7" s="28"/>
      <c r="D7" s="25" t="str">
        <f aca="false">IFERROR(C7/B7,"")</f>
        <v/>
      </c>
      <c r="E7" s="28"/>
      <c r="F7" s="28"/>
      <c r="G7" s="28"/>
      <c r="H7" s="26" t="str">
        <f aca="false">IFERROR(F7/(F7+G7),"")</f>
        <v/>
      </c>
      <c r="I7" s="28"/>
      <c r="J7" s="28"/>
      <c r="K7" s="28"/>
      <c r="L7" s="28"/>
      <c r="M7" s="28"/>
      <c r="N7" s="27" t="n">
        <f aca="false">IFERROR(SUM(I7,J7,L7,M7),"")</f>
        <v>0</v>
      </c>
      <c r="O7" s="28"/>
      <c r="P7" s="28"/>
      <c r="Q7" s="6"/>
    </row>
    <row r="8" customFormat="false" ht="15" hidden="false" customHeight="false" outlineLevel="0" collapsed="false">
      <c r="A8" s="28"/>
      <c r="B8" s="28"/>
      <c r="C8" s="28"/>
      <c r="D8" s="25" t="str">
        <f aca="false">IFERROR(C8/B8,"")</f>
        <v/>
      </c>
      <c r="E8" s="28"/>
      <c r="F8" s="28"/>
      <c r="G8" s="28"/>
      <c r="H8" s="26" t="str">
        <f aca="false">IFERROR(F8/(F8+G8),"")</f>
        <v/>
      </c>
      <c r="I8" s="28"/>
      <c r="J8" s="28"/>
      <c r="K8" s="28"/>
      <c r="L8" s="28"/>
      <c r="M8" s="28"/>
      <c r="N8" s="27" t="n">
        <f aca="false">IFERROR(SUM(I8,J8,L8,M8),"")</f>
        <v>0</v>
      </c>
      <c r="O8" s="28"/>
      <c r="P8" s="28"/>
      <c r="Q8" s="6"/>
    </row>
    <row r="9" customFormat="false" ht="15" hidden="false" customHeight="false" outlineLevel="0" collapsed="false">
      <c r="A9" s="28"/>
      <c r="B9" s="28"/>
      <c r="C9" s="28"/>
      <c r="D9" s="25" t="str">
        <f aca="false">IFERROR(C9/B9,"")</f>
        <v/>
      </c>
      <c r="E9" s="28"/>
      <c r="F9" s="28"/>
      <c r="G9" s="28"/>
      <c r="H9" s="26" t="str">
        <f aca="false">IFERROR(F9/(F9+G9),"")</f>
        <v/>
      </c>
      <c r="I9" s="28"/>
      <c r="J9" s="28"/>
      <c r="K9" s="28"/>
      <c r="L9" s="28"/>
      <c r="M9" s="28"/>
      <c r="N9" s="27" t="n">
        <f aca="false">IFERROR(SUM(I9,J9,L9,M9),"")</f>
        <v>0</v>
      </c>
      <c r="O9" s="28"/>
      <c r="P9" s="28"/>
      <c r="Q9" s="6"/>
    </row>
    <row r="10" customFormat="false" ht="15" hidden="false" customHeight="false" outlineLevel="0" collapsed="false">
      <c r="A10" s="28"/>
      <c r="B10" s="28"/>
      <c r="C10" s="28"/>
      <c r="D10" s="25" t="str">
        <f aca="false">IFERROR(C10/B10,"")</f>
        <v/>
      </c>
      <c r="E10" s="28"/>
      <c r="F10" s="28"/>
      <c r="G10" s="28"/>
      <c r="H10" s="26" t="str">
        <f aca="false">IFERROR(F10/(F10+G10),"")</f>
        <v/>
      </c>
      <c r="I10" s="28"/>
      <c r="J10" s="28"/>
      <c r="K10" s="28"/>
      <c r="L10" s="28"/>
      <c r="M10" s="28"/>
      <c r="N10" s="27" t="n">
        <f aca="false">IFERROR(SUM(I10,J10,L10,M10),"")</f>
        <v>0</v>
      </c>
      <c r="O10" s="28"/>
      <c r="P10" s="28"/>
      <c r="Q10" s="6"/>
    </row>
    <row r="11" customFormat="false" ht="15" hidden="false" customHeight="false" outlineLevel="0" collapsed="false">
      <c r="A11" s="28"/>
      <c r="B11" s="28"/>
      <c r="C11" s="28"/>
      <c r="D11" s="25" t="str">
        <f aca="false">IFERROR(C11/B11,"")</f>
        <v/>
      </c>
      <c r="E11" s="28"/>
      <c r="F11" s="28"/>
      <c r="G11" s="28"/>
      <c r="H11" s="26" t="str">
        <f aca="false">IFERROR(F11/(F11+G11),"")</f>
        <v/>
      </c>
      <c r="I11" s="28"/>
      <c r="J11" s="28"/>
      <c r="K11" s="28"/>
      <c r="L11" s="28"/>
      <c r="M11" s="28"/>
      <c r="N11" s="27" t="n">
        <f aca="false">IFERROR(SUM(I11,J11,L11,M11),"")</f>
        <v>0</v>
      </c>
      <c r="O11" s="28"/>
      <c r="P11" s="28"/>
      <c r="Q11" s="6"/>
    </row>
    <row r="12" customFormat="false" ht="15" hidden="false" customHeight="false" outlineLevel="0" collapsed="false">
      <c r="A12" s="28"/>
      <c r="B12" s="28"/>
      <c r="C12" s="28"/>
      <c r="D12" s="25" t="str">
        <f aca="false">IFERROR(C12/B12,"")</f>
        <v/>
      </c>
      <c r="E12" s="28"/>
      <c r="F12" s="28"/>
      <c r="G12" s="28"/>
      <c r="H12" s="26" t="str">
        <f aca="false">IFERROR(F12/(F12+G12),"")</f>
        <v/>
      </c>
      <c r="I12" s="28"/>
      <c r="J12" s="28"/>
      <c r="K12" s="28"/>
      <c r="L12" s="28"/>
      <c r="M12" s="28"/>
      <c r="N12" s="27" t="n">
        <f aca="false">IFERROR(SUM(I12,J12,L12,M12),"")</f>
        <v>0</v>
      </c>
      <c r="O12" s="28"/>
      <c r="P12" s="28"/>
      <c r="Q12" s="6"/>
    </row>
    <row r="13" customFormat="false" ht="15" hidden="false" customHeight="false" outlineLevel="0" collapsed="false">
      <c r="A13" s="28"/>
      <c r="B13" s="28"/>
      <c r="C13" s="28"/>
      <c r="D13" s="25" t="str">
        <f aca="false">IFERROR(C13/B13,"")</f>
        <v/>
      </c>
      <c r="E13" s="28"/>
      <c r="F13" s="28"/>
      <c r="G13" s="28"/>
      <c r="H13" s="26" t="str">
        <f aca="false">IFERROR(F13/(F13+G13),"")</f>
        <v/>
      </c>
      <c r="I13" s="28"/>
      <c r="J13" s="28"/>
      <c r="K13" s="28"/>
      <c r="L13" s="28"/>
      <c r="M13" s="28"/>
      <c r="N13" s="27" t="n">
        <f aca="false">IFERROR(SUM(I13,J13,L13,M13),"")</f>
        <v>0</v>
      </c>
      <c r="O13" s="28"/>
      <c r="P13" s="28"/>
      <c r="Q13" s="6"/>
    </row>
    <row r="14" customFormat="false" ht="15" hidden="false" customHeight="false" outlineLevel="0" collapsed="false">
      <c r="A14" s="28"/>
      <c r="B14" s="28"/>
      <c r="C14" s="28"/>
      <c r="D14" s="25" t="str">
        <f aca="false">IFERROR(C14/B14,"")</f>
        <v/>
      </c>
      <c r="E14" s="28"/>
      <c r="F14" s="28"/>
      <c r="G14" s="28"/>
      <c r="H14" s="26" t="str">
        <f aca="false">IFERROR(F14/(F14+G14),"")</f>
        <v/>
      </c>
      <c r="I14" s="28"/>
      <c r="J14" s="28"/>
      <c r="K14" s="28"/>
      <c r="L14" s="28"/>
      <c r="M14" s="28"/>
      <c r="N14" s="27" t="n">
        <f aca="false">IFERROR(SUM(I14,J14,L14,M14),"")</f>
        <v>0</v>
      </c>
      <c r="O14" s="28"/>
      <c r="P14" s="28"/>
      <c r="Q14" s="6"/>
    </row>
    <row r="15" customFormat="false" ht="15" hidden="false" customHeight="false" outlineLevel="0" collapsed="false">
      <c r="A15" s="28"/>
      <c r="B15" s="28"/>
      <c r="C15" s="28"/>
      <c r="D15" s="25" t="str">
        <f aca="false">IFERROR(C15/B15,"")</f>
        <v/>
      </c>
      <c r="E15" s="28"/>
      <c r="F15" s="28"/>
      <c r="G15" s="28"/>
      <c r="H15" s="26" t="str">
        <f aca="false">IFERROR(F15/(F15+G15),"")</f>
        <v/>
      </c>
      <c r="I15" s="28"/>
      <c r="J15" s="28"/>
      <c r="K15" s="28"/>
      <c r="L15" s="28"/>
      <c r="M15" s="28"/>
      <c r="N15" s="27" t="n">
        <f aca="false">IFERROR(SUM(I15,J15,L15,M15),"")</f>
        <v>0</v>
      </c>
      <c r="O15" s="28"/>
      <c r="P15" s="28"/>
      <c r="Q15" s="6"/>
    </row>
    <row r="16" customFormat="false" ht="15" hidden="false" customHeight="false" outlineLevel="0" collapsed="false">
      <c r="A16" s="28"/>
      <c r="B16" s="28"/>
      <c r="C16" s="28"/>
      <c r="D16" s="25" t="str">
        <f aca="false">IFERROR(C16/B16,"")</f>
        <v/>
      </c>
      <c r="E16" s="28"/>
      <c r="F16" s="28"/>
      <c r="G16" s="28"/>
      <c r="H16" s="26" t="str">
        <f aca="false">IFERROR(F16/(F16+G16),"")</f>
        <v/>
      </c>
      <c r="I16" s="28"/>
      <c r="J16" s="28"/>
      <c r="K16" s="28"/>
      <c r="L16" s="28"/>
      <c r="M16" s="28"/>
      <c r="N16" s="27" t="n">
        <f aca="false">IFERROR(SUM(I16,J16,L16,M16),"")</f>
        <v>0</v>
      </c>
      <c r="O16" s="28"/>
      <c r="P16" s="28"/>
      <c r="Q16" s="6"/>
    </row>
    <row r="18" customFormat="false" ht="15" hidden="false" customHeight="false" outlineLevel="0" collapsed="false">
      <c r="A18" s="11" t="s">
        <v>480</v>
      </c>
    </row>
    <row r="19" customFormat="false" ht="15" hidden="false" customHeight="false" outlineLevel="0" collapsed="false">
      <c r="A19" s="29" t="s">
        <v>100</v>
      </c>
      <c r="B19" s="30" t="s">
        <v>481</v>
      </c>
      <c r="C19" s="30" t="s">
        <v>482</v>
      </c>
      <c r="D19" s="30" t="s">
        <v>483</v>
      </c>
    </row>
    <row r="20" customFormat="false" ht="15" hidden="false" customHeight="false" outlineLevel="0" collapsed="false">
      <c r="A20" s="29" t="s">
        <v>484</v>
      </c>
      <c r="B20" s="30" t="s">
        <v>485</v>
      </c>
      <c r="C20" s="30" t="s">
        <v>486</v>
      </c>
      <c r="D20" s="30" t="s">
        <v>487</v>
      </c>
    </row>
    <row r="21" customFormat="false" ht="15" hidden="false" customHeight="false" outlineLevel="0" collapsed="false">
      <c r="A21" s="29" t="s">
        <v>488</v>
      </c>
      <c r="B21" s="30" t="s">
        <v>489</v>
      </c>
      <c r="C21" s="30" t="s">
        <v>490</v>
      </c>
      <c r="D21" s="30" t="s">
        <v>491</v>
      </c>
    </row>
    <row r="22" customFormat="false" ht="15" hidden="false" customHeight="false" outlineLevel="0" collapsed="false">
      <c r="A22" s="29" t="s">
        <v>492</v>
      </c>
      <c r="B22" s="30" t="s">
        <v>493</v>
      </c>
      <c r="C22" s="30" t="s">
        <v>494</v>
      </c>
      <c r="D22" s="30" t="s">
        <v>495</v>
      </c>
    </row>
    <row r="23" customFormat="false" ht="15" hidden="false" customHeight="false" outlineLevel="0" collapsed="false">
      <c r="A23" s="29" t="s">
        <v>496</v>
      </c>
      <c r="B23" s="30" t="s">
        <v>497</v>
      </c>
      <c r="C23" s="30" t="s">
        <v>498</v>
      </c>
      <c r="D23" s="30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0"/>
    <col collapsed="false" customWidth="true" hidden="false" outlineLevel="0" max="4" min="4" style="0" width="66"/>
  </cols>
  <sheetData>
    <row r="1" customFormat="false" ht="15" hidden="false" customHeight="false" outlineLevel="0" collapsed="false">
      <c r="A1" s="31" t="s">
        <v>500</v>
      </c>
      <c r="B1" s="32"/>
      <c r="C1" s="32"/>
      <c r="D1" s="32"/>
    </row>
    <row r="2" customFormat="false" ht="15" hidden="false" customHeight="false" outlineLevel="0" collapsed="false">
      <c r="A2" s="18" t="s">
        <v>501</v>
      </c>
      <c r="B2" s="18" t="s">
        <v>502</v>
      </c>
      <c r="C2" s="17" t="s">
        <v>503</v>
      </c>
      <c r="D2" s="18" t="s">
        <v>504</v>
      </c>
    </row>
    <row r="3" customFormat="false" ht="15" hidden="false" customHeight="false" outlineLevel="0" collapsed="false">
      <c r="A3" s="5" t="s">
        <v>505</v>
      </c>
      <c r="B3" s="3" t="s">
        <v>506</v>
      </c>
      <c r="C3" s="3" t="s">
        <v>507</v>
      </c>
      <c r="D3" s="5" t="s">
        <v>508</v>
      </c>
    </row>
    <row r="4" customFormat="false" ht="15" hidden="false" customHeight="false" outlineLevel="0" collapsed="false">
      <c r="A4" s="5" t="s">
        <v>509</v>
      </c>
      <c r="B4" s="3" t="s">
        <v>510</v>
      </c>
      <c r="C4" s="3" t="s">
        <v>511</v>
      </c>
      <c r="D4" s="3" t="s">
        <v>512</v>
      </c>
    </row>
    <row r="5" customFormat="false" ht="15" hidden="false" customHeight="false" outlineLevel="0" collapsed="false">
      <c r="A5" s="5" t="s">
        <v>513</v>
      </c>
      <c r="B5" s="3" t="s">
        <v>514</v>
      </c>
      <c r="C5" s="3" t="s">
        <v>515</v>
      </c>
      <c r="D5" s="5" t="s">
        <v>516</v>
      </c>
    </row>
    <row r="6" customFormat="false" ht="29.85" hidden="false" customHeight="false" outlineLevel="0" collapsed="false">
      <c r="A6" s="18" t="s">
        <v>517</v>
      </c>
      <c r="B6" s="17" t="s">
        <v>319</v>
      </c>
      <c r="C6" s="17" t="s">
        <v>518</v>
      </c>
      <c r="D6" s="17" t="s">
        <v>519</v>
      </c>
    </row>
    <row r="7" customFormat="false" ht="15" hidden="false" customHeight="false" outlineLevel="0" collapsed="false">
      <c r="A7" s="5" t="s">
        <v>520</v>
      </c>
      <c r="B7" s="3" t="s">
        <v>521</v>
      </c>
      <c r="C7" s="3" t="s">
        <v>522</v>
      </c>
      <c r="D7" s="3" t="s">
        <v>523</v>
      </c>
    </row>
    <row r="8" customFormat="false" ht="15" hidden="false" customHeight="false" outlineLevel="0" collapsed="false">
      <c r="A8" s="5" t="s">
        <v>524</v>
      </c>
      <c r="B8" s="3" t="s">
        <v>525</v>
      </c>
      <c r="C8" s="3" t="s">
        <v>526</v>
      </c>
      <c r="D8" s="3" t="s">
        <v>319</v>
      </c>
    </row>
    <row r="10" customFormat="false" ht="15" hidden="false" customHeight="false" outlineLevel="0" collapsed="false">
      <c r="A10" s="31" t="s">
        <v>527</v>
      </c>
      <c r="B10" s="32"/>
      <c r="C10" s="32"/>
      <c r="D10" s="32"/>
    </row>
    <row r="11" customFormat="false" ht="15" hidden="false" customHeight="false" outlineLevel="0" collapsed="false">
      <c r="A11" s="18" t="s">
        <v>528</v>
      </c>
      <c r="B11" s="18" t="s">
        <v>529</v>
      </c>
      <c r="C11" s="18" t="s">
        <v>530</v>
      </c>
      <c r="D11" s="18" t="s">
        <v>531</v>
      </c>
    </row>
    <row r="12" customFormat="false" ht="15" hidden="false" customHeight="false" outlineLevel="0" collapsed="false">
      <c r="A12" s="3" t="s">
        <v>532</v>
      </c>
      <c r="B12" s="3" t="s">
        <v>533</v>
      </c>
      <c r="C12" s="3" t="s">
        <v>534</v>
      </c>
      <c r="D12" s="3" t="s">
        <v>535</v>
      </c>
    </row>
    <row r="13" customFormat="false" ht="15" hidden="false" customHeight="false" outlineLevel="0" collapsed="false">
      <c r="A13" s="3" t="s">
        <v>536</v>
      </c>
      <c r="B13" s="3" t="s">
        <v>537</v>
      </c>
      <c r="C13" s="3" t="s">
        <v>538</v>
      </c>
      <c r="D13" s="3" t="s">
        <v>539</v>
      </c>
    </row>
    <row r="14" customFormat="false" ht="15" hidden="false" customHeight="false" outlineLevel="0" collapsed="false">
      <c r="A14" s="3" t="s">
        <v>540</v>
      </c>
      <c r="B14" s="3" t="s">
        <v>541</v>
      </c>
      <c r="C14" s="3" t="s">
        <v>538</v>
      </c>
      <c r="D14" s="3" t="s">
        <v>542</v>
      </c>
    </row>
    <row r="15" customFormat="false" ht="15" hidden="false" customHeight="false" outlineLevel="0" collapsed="false">
      <c r="A15" s="3" t="s">
        <v>543</v>
      </c>
      <c r="B15" s="3" t="s">
        <v>544</v>
      </c>
      <c r="C15" s="3" t="s">
        <v>545</v>
      </c>
      <c r="D15" s="3" t="s">
        <v>546</v>
      </c>
    </row>
    <row r="16" customFormat="false" ht="15" hidden="false" customHeight="false" outlineLevel="0" collapsed="false">
      <c r="A16" s="3" t="s">
        <v>547</v>
      </c>
      <c r="B16" s="3" t="s">
        <v>548</v>
      </c>
      <c r="C16" s="3" t="s">
        <v>549</v>
      </c>
      <c r="D16" s="3" t="s">
        <v>550</v>
      </c>
    </row>
    <row r="17" customFormat="false" ht="15" hidden="false" customHeight="false" outlineLevel="0" collapsed="false">
      <c r="A17" s="3" t="s">
        <v>551</v>
      </c>
      <c r="B17" s="3" t="s">
        <v>552</v>
      </c>
      <c r="C17" s="3" t="s">
        <v>553</v>
      </c>
      <c r="D17" s="3" t="s">
        <v>554</v>
      </c>
    </row>
    <row r="18" customFormat="false" ht="15" hidden="false" customHeight="false" outlineLevel="0" collapsed="false">
      <c r="A18" s="17" t="s">
        <v>555</v>
      </c>
      <c r="B18" s="17" t="s">
        <v>556</v>
      </c>
      <c r="C18" s="18" t="s">
        <v>557</v>
      </c>
      <c r="D18" s="17" t="s">
        <v>558</v>
      </c>
    </row>
    <row r="20" customFormat="false" ht="15" hidden="false" customHeight="false" outlineLevel="0" collapsed="false">
      <c r="A20" s="31" t="s">
        <v>559</v>
      </c>
      <c r="B20" s="32"/>
      <c r="C20" s="32"/>
      <c r="D20" s="32"/>
    </row>
    <row r="21" customFormat="false" ht="15" hidden="false" customHeight="false" outlineLevel="0" collapsed="false">
      <c r="A21" s="18" t="s">
        <v>560</v>
      </c>
      <c r="B21" s="18" t="s">
        <v>502</v>
      </c>
      <c r="C21" s="17" t="s">
        <v>561</v>
      </c>
      <c r="D21" s="18" t="s">
        <v>531</v>
      </c>
    </row>
    <row r="22" customFormat="false" ht="15" hidden="false" customHeight="false" outlineLevel="0" collapsed="false">
      <c r="A22" s="5" t="s">
        <v>562</v>
      </c>
      <c r="B22" s="3" t="s">
        <v>563</v>
      </c>
      <c r="C22" s="3" t="s">
        <v>564</v>
      </c>
      <c r="D22" s="3" t="s">
        <v>565</v>
      </c>
    </row>
    <row r="23" customFormat="false" ht="15" hidden="false" customHeight="false" outlineLevel="0" collapsed="false">
      <c r="A23" s="5" t="s">
        <v>566</v>
      </c>
      <c r="B23" s="3" t="s">
        <v>567</v>
      </c>
      <c r="C23" s="3" t="s">
        <v>568</v>
      </c>
      <c r="D23" s="3" t="s">
        <v>569</v>
      </c>
    </row>
    <row r="24" customFormat="false" ht="15" hidden="false" customHeight="false" outlineLevel="0" collapsed="false">
      <c r="A24" s="5" t="s">
        <v>570</v>
      </c>
      <c r="B24" s="3" t="s">
        <v>571</v>
      </c>
      <c r="C24" s="3" t="s">
        <v>572</v>
      </c>
      <c r="D24" s="3" t="s">
        <v>573</v>
      </c>
    </row>
    <row r="25" customFormat="false" ht="15" hidden="false" customHeight="false" outlineLevel="0" collapsed="false">
      <c r="A25" s="18" t="s">
        <v>574</v>
      </c>
      <c r="B25" s="17" t="s">
        <v>319</v>
      </c>
      <c r="C25" s="17" t="s">
        <v>319</v>
      </c>
      <c r="D25" s="18" t="s">
        <v>575</v>
      </c>
    </row>
    <row r="27" customFormat="false" ht="15" hidden="false" customHeight="false" outlineLevel="0" collapsed="false">
      <c r="A27" s="31" t="s">
        <v>576</v>
      </c>
      <c r="B27" s="32"/>
      <c r="C27" s="32"/>
      <c r="D27" s="32"/>
    </row>
    <row r="28" customFormat="false" ht="15" hidden="false" customHeight="false" outlineLevel="0" collapsed="false">
      <c r="A28" s="18" t="s">
        <v>577</v>
      </c>
      <c r="B28" s="18" t="s">
        <v>502</v>
      </c>
      <c r="C28" s="17" t="s">
        <v>561</v>
      </c>
      <c r="D28" s="18" t="s">
        <v>531</v>
      </c>
    </row>
    <row r="29" customFormat="false" ht="15" hidden="false" customHeight="false" outlineLevel="0" collapsed="false">
      <c r="A29" s="5" t="s">
        <v>578</v>
      </c>
      <c r="B29" s="3" t="s">
        <v>579</v>
      </c>
      <c r="C29" s="3" t="s">
        <v>580</v>
      </c>
      <c r="D29" s="3" t="s">
        <v>581</v>
      </c>
    </row>
    <row r="30" customFormat="false" ht="15" hidden="false" customHeight="false" outlineLevel="0" collapsed="false">
      <c r="A30" s="5" t="s">
        <v>582</v>
      </c>
      <c r="B30" s="3" t="s">
        <v>583</v>
      </c>
      <c r="C30" s="3" t="s">
        <v>584</v>
      </c>
      <c r="D30" s="3" t="s">
        <v>585</v>
      </c>
    </row>
    <row r="31" customFormat="false" ht="15" hidden="false" customHeight="false" outlineLevel="0" collapsed="false">
      <c r="A31" s="5" t="s">
        <v>586</v>
      </c>
      <c r="B31" s="3" t="s">
        <v>587</v>
      </c>
      <c r="C31" s="3" t="s">
        <v>588</v>
      </c>
      <c r="D31" s="3" t="s">
        <v>589</v>
      </c>
    </row>
    <row r="32" customFormat="false" ht="15" hidden="false" customHeight="false" outlineLevel="0" collapsed="false">
      <c r="A32" s="5" t="s">
        <v>590</v>
      </c>
      <c r="B32" s="3" t="s">
        <v>591</v>
      </c>
      <c r="C32" s="3" t="s">
        <v>572</v>
      </c>
      <c r="D32" s="3" t="s">
        <v>592</v>
      </c>
    </row>
    <row r="33" customFormat="false" ht="15" hidden="false" customHeight="false" outlineLevel="0" collapsed="false">
      <c r="A33" s="5" t="s">
        <v>593</v>
      </c>
      <c r="B33" s="3" t="s">
        <v>594</v>
      </c>
      <c r="C33" s="3" t="s">
        <v>572</v>
      </c>
      <c r="D33" s="3" t="s">
        <v>595</v>
      </c>
    </row>
    <row r="34" customFormat="false" ht="15" hidden="false" customHeight="false" outlineLevel="0" collapsed="false">
      <c r="A34" s="5" t="s">
        <v>596</v>
      </c>
      <c r="B34" s="3" t="s">
        <v>597</v>
      </c>
      <c r="C34" s="3" t="s">
        <v>572</v>
      </c>
      <c r="D34" s="3" t="s">
        <v>598</v>
      </c>
    </row>
    <row r="36" customFormat="false" ht="15" hidden="false" customHeight="false" outlineLevel="0" collapsed="false">
      <c r="A36" s="31" t="s">
        <v>599</v>
      </c>
      <c r="B36" s="32"/>
      <c r="C36" s="32"/>
      <c r="D36" s="32"/>
    </row>
    <row r="37" customFormat="false" ht="15" hidden="false" customHeight="false" outlineLevel="0" collapsed="false">
      <c r="A37" s="18" t="s">
        <v>9</v>
      </c>
      <c r="B37" s="18" t="s">
        <v>600</v>
      </c>
      <c r="C37" s="18" t="s">
        <v>601</v>
      </c>
      <c r="D37" s="18" t="s">
        <v>602</v>
      </c>
    </row>
    <row r="38" customFormat="false" ht="15" hidden="false" customHeight="false" outlineLevel="0" collapsed="false">
      <c r="A38" s="5" t="s">
        <v>603</v>
      </c>
      <c r="B38" s="3" t="s">
        <v>433</v>
      </c>
      <c r="C38" s="3" t="s">
        <v>604</v>
      </c>
      <c r="D38" s="3" t="s">
        <v>319</v>
      </c>
    </row>
    <row r="39" customFormat="false" ht="15" hidden="false" customHeight="false" outlineLevel="0" collapsed="false">
      <c r="A39" s="5" t="s">
        <v>605</v>
      </c>
      <c r="B39" s="3" t="s">
        <v>606</v>
      </c>
      <c r="C39" s="3" t="s">
        <v>607</v>
      </c>
      <c r="D39" s="3" t="s">
        <v>319</v>
      </c>
    </row>
    <row r="40" customFormat="false" ht="15" hidden="false" customHeight="false" outlineLevel="0" collapsed="false">
      <c r="A40" s="5" t="s">
        <v>608</v>
      </c>
      <c r="B40" s="3" t="s">
        <v>609</v>
      </c>
      <c r="C40" s="3" t="s">
        <v>319</v>
      </c>
      <c r="D40" s="3" t="s">
        <v>610</v>
      </c>
    </row>
    <row r="41" customFormat="false" ht="15" hidden="false" customHeight="false" outlineLevel="0" collapsed="false">
      <c r="A41" s="5" t="s">
        <v>611</v>
      </c>
      <c r="B41" s="3" t="s">
        <v>612</v>
      </c>
      <c r="C41" s="3" t="s">
        <v>319</v>
      </c>
      <c r="D41" s="5" t="s">
        <v>613</v>
      </c>
    </row>
    <row r="42" customFormat="false" ht="15" hidden="false" customHeight="false" outlineLevel="0" collapsed="false">
      <c r="A42" s="5" t="s">
        <v>614</v>
      </c>
      <c r="B42" s="3" t="s">
        <v>615</v>
      </c>
      <c r="C42" s="3" t="s">
        <v>319</v>
      </c>
      <c r="D42" s="3" t="s">
        <v>319</v>
      </c>
    </row>
    <row r="43" customFormat="false" ht="15" hidden="false" customHeight="false" outlineLevel="0" collapsed="false">
      <c r="A43" s="5" t="s">
        <v>616</v>
      </c>
      <c r="B43" s="3" t="s">
        <v>617</v>
      </c>
      <c r="C43" s="3" t="s">
        <v>319</v>
      </c>
      <c r="D43" s="3" t="s">
        <v>319</v>
      </c>
    </row>
    <row r="44" customFormat="false" ht="15" hidden="false" customHeight="false" outlineLevel="0" collapsed="false">
      <c r="A44" s="5" t="s">
        <v>618</v>
      </c>
      <c r="B44" s="3" t="s">
        <v>619</v>
      </c>
      <c r="C44" s="3" t="s">
        <v>319</v>
      </c>
      <c r="D44" s="3" t="s">
        <v>319</v>
      </c>
    </row>
    <row r="45" customFormat="false" ht="15" hidden="false" customHeight="false" outlineLevel="0" collapsed="false">
      <c r="A45" s="5" t="s">
        <v>620</v>
      </c>
      <c r="B45" s="3" t="s">
        <v>621</v>
      </c>
      <c r="C45" s="3" t="s">
        <v>319</v>
      </c>
      <c r="D45" s="3" t="s">
        <v>319</v>
      </c>
    </row>
    <row r="47" customFormat="false" ht="15" hidden="false" customHeight="false" outlineLevel="0" collapsed="false">
      <c r="A47" s="33" t="s">
        <v>622</v>
      </c>
      <c r="B47" s="32"/>
      <c r="C47" s="32"/>
      <c r="D47" s="32"/>
    </row>
    <row r="48" customFormat="false" ht="15" hidden="false" customHeight="false" outlineLevel="0" collapsed="false">
      <c r="A48" s="18" t="s">
        <v>623</v>
      </c>
      <c r="B48" s="18" t="s">
        <v>624</v>
      </c>
      <c r="C48" s="17" t="s">
        <v>319</v>
      </c>
      <c r="D48" s="18" t="s">
        <v>504</v>
      </c>
    </row>
    <row r="49" customFormat="false" ht="15" hidden="false" customHeight="false" outlineLevel="0" collapsed="false">
      <c r="A49" s="3" t="s">
        <v>625</v>
      </c>
      <c r="B49" s="3" t="s">
        <v>626</v>
      </c>
      <c r="C49" s="3" t="s">
        <v>319</v>
      </c>
      <c r="D49" s="3" t="s">
        <v>319</v>
      </c>
    </row>
    <row r="50" customFormat="false" ht="15" hidden="false" customHeight="false" outlineLevel="0" collapsed="false">
      <c r="A50" s="5" t="s">
        <v>627</v>
      </c>
      <c r="B50" s="3" t="s">
        <v>628</v>
      </c>
      <c r="C50" s="3" t="s">
        <v>629</v>
      </c>
      <c r="D50" s="3" t="s">
        <v>319</v>
      </c>
    </row>
    <row r="51" customFormat="false" ht="15" hidden="false" customHeight="false" outlineLevel="0" collapsed="false">
      <c r="A51" s="5" t="s">
        <v>630</v>
      </c>
      <c r="B51" s="3" t="s">
        <v>631</v>
      </c>
      <c r="C51" s="3" t="s">
        <v>632</v>
      </c>
      <c r="D51" s="3" t="s">
        <v>633</v>
      </c>
    </row>
    <row r="52" customFormat="false" ht="26.85" hidden="false" customHeight="false" outlineLevel="0" collapsed="false">
      <c r="A52" s="5" t="s">
        <v>634</v>
      </c>
      <c r="B52" s="3" t="s">
        <v>635</v>
      </c>
      <c r="C52" s="3" t="s">
        <v>636</v>
      </c>
      <c r="D52" s="3" t="s">
        <v>637</v>
      </c>
    </row>
    <row r="53" customFormat="false" ht="15" hidden="false" customHeight="false" outlineLevel="0" collapsed="false">
      <c r="A53" s="5" t="s">
        <v>638</v>
      </c>
      <c r="B53" s="3" t="s">
        <v>639</v>
      </c>
      <c r="C53" s="3" t="s">
        <v>640</v>
      </c>
      <c r="D53" s="3" t="s">
        <v>319</v>
      </c>
    </row>
    <row r="54" customFormat="false" ht="15" hidden="false" customHeight="false" outlineLevel="0" collapsed="false">
      <c r="A54" s="5" t="s">
        <v>641</v>
      </c>
      <c r="B54" s="3" t="s">
        <v>642</v>
      </c>
      <c r="C54" s="3" t="s">
        <v>319</v>
      </c>
      <c r="D54" s="3" t="s">
        <v>643</v>
      </c>
    </row>
    <row r="56" customFormat="false" ht="15" hidden="false" customHeight="false" outlineLevel="0" collapsed="false">
      <c r="A56" s="31" t="s">
        <v>644</v>
      </c>
      <c r="B56" s="32"/>
      <c r="C56" s="32"/>
      <c r="D56" s="32"/>
    </row>
    <row r="57" customFormat="false" ht="15" hidden="false" customHeight="false" outlineLevel="0" collapsed="false">
      <c r="A57" s="18" t="s">
        <v>645</v>
      </c>
      <c r="B57" s="18" t="s">
        <v>529</v>
      </c>
      <c r="C57" s="18" t="s">
        <v>646</v>
      </c>
      <c r="D57" s="18" t="s">
        <v>647</v>
      </c>
    </row>
    <row r="58" customFormat="false" ht="29.85" hidden="false" customHeight="false" outlineLevel="0" collapsed="false">
      <c r="A58" s="3" t="s">
        <v>304</v>
      </c>
      <c r="B58" s="3" t="s">
        <v>648</v>
      </c>
      <c r="C58" s="3" t="s">
        <v>649</v>
      </c>
      <c r="D58" s="5" t="s">
        <v>650</v>
      </c>
    </row>
    <row r="59" customFormat="false" ht="15" hidden="false" customHeight="false" outlineLevel="0" collapsed="false">
      <c r="A59" s="3" t="s">
        <v>445</v>
      </c>
      <c r="B59" s="3" t="s">
        <v>651</v>
      </c>
      <c r="C59" s="3" t="s">
        <v>652</v>
      </c>
      <c r="D59" s="3" t="s">
        <v>653</v>
      </c>
    </row>
    <row r="60" customFormat="false" ht="15" hidden="false" customHeight="false" outlineLevel="0" collapsed="false">
      <c r="A60" s="3" t="s">
        <v>387</v>
      </c>
      <c r="B60" s="3" t="s">
        <v>654</v>
      </c>
      <c r="C60" s="3" t="s">
        <v>655</v>
      </c>
      <c r="D60" s="3" t="s">
        <v>656</v>
      </c>
    </row>
    <row r="61" customFormat="false" ht="15" hidden="false" customHeight="false" outlineLevel="0" collapsed="false">
      <c r="A61" s="3" t="s">
        <v>311</v>
      </c>
      <c r="B61" s="3" t="s">
        <v>657</v>
      </c>
      <c r="C61" s="3" t="s">
        <v>658</v>
      </c>
      <c r="D61" s="3" t="s">
        <v>659</v>
      </c>
    </row>
    <row r="62" customFormat="false" ht="15" hidden="false" customHeight="false" outlineLevel="0" collapsed="false">
      <c r="A62" s="3" t="s">
        <v>660</v>
      </c>
      <c r="B62" s="3" t="s">
        <v>661</v>
      </c>
      <c r="C62" s="3" t="s">
        <v>662</v>
      </c>
      <c r="D62" s="3" t="s">
        <v>663</v>
      </c>
    </row>
    <row r="63" customFormat="false" ht="15" hidden="false" customHeight="false" outlineLevel="0" collapsed="false">
      <c r="A63" s="3" t="s">
        <v>664</v>
      </c>
      <c r="B63" s="3" t="s">
        <v>665</v>
      </c>
      <c r="C63" s="3" t="s">
        <v>666</v>
      </c>
      <c r="D63" s="3" t="s">
        <v>319</v>
      </c>
    </row>
    <row r="64" customFormat="false" ht="15" hidden="false" customHeight="false" outlineLevel="0" collapsed="false">
      <c r="A64" s="3" t="s">
        <v>667</v>
      </c>
      <c r="B64" s="3" t="s">
        <v>668</v>
      </c>
      <c r="C64" s="3" t="s">
        <v>669</v>
      </c>
      <c r="D64" s="5" t="s">
        <v>670</v>
      </c>
    </row>
    <row r="65" customFormat="false" ht="15" hidden="false" customHeight="false" outlineLevel="0" collapsed="false">
      <c r="A65" s="3" t="s">
        <v>671</v>
      </c>
      <c r="B65" s="3" t="s">
        <v>672</v>
      </c>
      <c r="C65" s="3" t="s">
        <v>673</v>
      </c>
      <c r="D65" s="5" t="s">
        <v>674</v>
      </c>
    </row>
    <row r="66" customFormat="false" ht="15" hidden="false" customHeight="false" outlineLevel="0" collapsed="false">
      <c r="A66" s="3" t="s">
        <v>675</v>
      </c>
      <c r="B66" s="3" t="s">
        <v>676</v>
      </c>
      <c r="C66" s="3" t="s">
        <v>677</v>
      </c>
      <c r="D66" s="5" t="s">
        <v>678</v>
      </c>
    </row>
    <row r="67" customFormat="false" ht="29.85" hidden="false" customHeight="false" outlineLevel="0" collapsed="false">
      <c r="A67" s="3" t="s">
        <v>334</v>
      </c>
      <c r="B67" s="3" t="s">
        <v>679</v>
      </c>
      <c r="C67" s="3" t="s">
        <v>680</v>
      </c>
      <c r="D67" s="5" t="s">
        <v>681</v>
      </c>
    </row>
    <row r="69" customFormat="false" ht="15" hidden="false" customHeight="false" outlineLevel="0" collapsed="false">
      <c r="A69" s="33" t="s">
        <v>682</v>
      </c>
      <c r="B69" s="32"/>
      <c r="C69" s="32"/>
      <c r="D69" s="32"/>
    </row>
    <row r="70" customFormat="false" ht="15" hidden="false" customHeight="false" outlineLevel="0" collapsed="false">
      <c r="A70" s="18" t="s">
        <v>683</v>
      </c>
      <c r="B70" s="18" t="s">
        <v>684</v>
      </c>
      <c r="C70" s="18" t="s">
        <v>685</v>
      </c>
      <c r="D70" s="18" t="s">
        <v>504</v>
      </c>
    </row>
    <row r="71" customFormat="false" ht="29.85" hidden="false" customHeight="false" outlineLevel="0" collapsed="false">
      <c r="A71" s="5" t="s">
        <v>686</v>
      </c>
      <c r="B71" s="3" t="s">
        <v>687</v>
      </c>
      <c r="C71" s="5" t="s">
        <v>688</v>
      </c>
      <c r="D71" s="3" t="s">
        <v>689</v>
      </c>
    </row>
    <row r="72" customFormat="false" ht="15" hidden="false" customHeight="false" outlineLevel="0" collapsed="false">
      <c r="A72" s="5" t="s">
        <v>690</v>
      </c>
      <c r="B72" s="3" t="s">
        <v>691</v>
      </c>
      <c r="C72" s="5" t="s">
        <v>692</v>
      </c>
      <c r="D72" s="5" t="s">
        <v>693</v>
      </c>
    </row>
    <row r="73" customFormat="false" ht="15" hidden="false" customHeight="false" outlineLevel="0" collapsed="false">
      <c r="A73" s="5" t="s">
        <v>694</v>
      </c>
      <c r="B73" s="5" t="s">
        <v>695</v>
      </c>
      <c r="C73" s="5" t="s">
        <v>696</v>
      </c>
      <c r="D73" s="3" t="s">
        <v>697</v>
      </c>
    </row>
    <row r="74" customFormat="false" ht="15" hidden="false" customHeight="false" outlineLevel="0" collapsed="false">
      <c r="A74" s="3" t="s">
        <v>698</v>
      </c>
      <c r="B74" s="5" t="s">
        <v>699</v>
      </c>
      <c r="C74" s="5" t="s">
        <v>700</v>
      </c>
      <c r="D74" s="5" t="s">
        <v>701</v>
      </c>
    </row>
    <row r="75" customFormat="false" ht="15" hidden="false" customHeight="false" outlineLevel="0" collapsed="false">
      <c r="A75" s="5" t="s">
        <v>702</v>
      </c>
      <c r="B75" s="5" t="s">
        <v>703</v>
      </c>
      <c r="C75" s="5" t="s">
        <v>696</v>
      </c>
      <c r="D75" s="5" t="s">
        <v>704</v>
      </c>
    </row>
    <row r="76" customFormat="false" ht="15" hidden="false" customHeight="false" outlineLevel="0" collapsed="false">
      <c r="A76" s="5" t="s">
        <v>705</v>
      </c>
      <c r="B76" s="5" t="s">
        <v>706</v>
      </c>
      <c r="C76" s="5" t="s">
        <v>696</v>
      </c>
      <c r="D76" s="5" t="s">
        <v>707</v>
      </c>
    </row>
    <row r="77" customFormat="false" ht="15" hidden="false" customHeight="false" outlineLevel="0" collapsed="false">
      <c r="A77" s="3" t="s">
        <v>708</v>
      </c>
      <c r="B77" s="5" t="s">
        <v>709</v>
      </c>
      <c r="C77" s="5" t="s">
        <v>710</v>
      </c>
      <c r="D77" s="5" t="s">
        <v>711</v>
      </c>
    </row>
    <row r="78" customFormat="false" ht="15" hidden="false" customHeight="false" outlineLevel="0" collapsed="false">
      <c r="A78" s="5" t="s">
        <v>712</v>
      </c>
      <c r="B78" s="5" t="s">
        <v>713</v>
      </c>
      <c r="C78" s="5" t="s">
        <v>710</v>
      </c>
      <c r="D78" s="5" t="s">
        <v>714</v>
      </c>
    </row>
    <row r="79" customFormat="false" ht="29.85" hidden="false" customHeight="false" outlineLevel="0" collapsed="false">
      <c r="A79" s="5" t="s">
        <v>715</v>
      </c>
      <c r="B79" s="5" t="s">
        <v>716</v>
      </c>
      <c r="C79" s="3" t="s">
        <v>717</v>
      </c>
      <c r="D79" s="5" t="s">
        <v>718</v>
      </c>
    </row>
    <row r="80" customFormat="false" ht="15" hidden="false" customHeight="false" outlineLevel="0" collapsed="false">
      <c r="A80" s="5" t="s">
        <v>719</v>
      </c>
      <c r="B80" s="5" t="s">
        <v>720</v>
      </c>
      <c r="C80" s="5" t="s">
        <v>721</v>
      </c>
      <c r="D80" s="5" t="s">
        <v>722</v>
      </c>
    </row>
    <row r="82" customFormat="false" ht="15" hidden="false" customHeight="false" outlineLevel="0" collapsed="false">
      <c r="A82" s="31" t="s">
        <v>723</v>
      </c>
      <c r="B82" s="32"/>
      <c r="C82" s="32"/>
      <c r="D82" s="32"/>
    </row>
    <row r="83" customFormat="false" ht="15" hidden="false" customHeight="false" outlineLevel="0" collapsed="false">
      <c r="A83" s="18" t="s">
        <v>724</v>
      </c>
      <c r="B83" s="18" t="s">
        <v>276</v>
      </c>
      <c r="C83" s="17" t="s">
        <v>319</v>
      </c>
      <c r="D83" s="18" t="s">
        <v>725</v>
      </c>
    </row>
    <row r="84" customFormat="false" ht="29.85" hidden="false" customHeight="false" outlineLevel="0" collapsed="false">
      <c r="A84" s="5" t="s">
        <v>726</v>
      </c>
      <c r="B84" s="3" t="s">
        <v>727</v>
      </c>
      <c r="C84" s="5" t="s">
        <v>728</v>
      </c>
      <c r="D84" s="3" t="s">
        <v>729</v>
      </c>
    </row>
    <row r="85" customFormat="false" ht="15" hidden="false" customHeight="false" outlineLevel="0" collapsed="false">
      <c r="A85" s="5" t="s">
        <v>730</v>
      </c>
      <c r="B85" s="3" t="s">
        <v>731</v>
      </c>
      <c r="C85" s="5" t="s">
        <v>732</v>
      </c>
      <c r="D85" s="3" t="s">
        <v>733</v>
      </c>
    </row>
    <row r="86" customFormat="false" ht="15" hidden="false" customHeight="false" outlineLevel="0" collapsed="false">
      <c r="A86" s="5" t="s">
        <v>734</v>
      </c>
      <c r="B86" s="3" t="s">
        <v>731</v>
      </c>
      <c r="C86" s="5" t="s">
        <v>732</v>
      </c>
      <c r="D86" s="5" t="s">
        <v>735</v>
      </c>
    </row>
    <row r="87" customFormat="false" ht="15" hidden="false" customHeight="false" outlineLevel="0" collapsed="false">
      <c r="A87" s="5" t="s">
        <v>736</v>
      </c>
      <c r="B87" s="3" t="s">
        <v>365</v>
      </c>
      <c r="C87" s="5" t="s">
        <v>737</v>
      </c>
      <c r="D87" s="3" t="s">
        <v>738</v>
      </c>
    </row>
    <row r="88" customFormat="false" ht="15" hidden="false" customHeight="false" outlineLevel="0" collapsed="false">
      <c r="A88" s="5" t="s">
        <v>739</v>
      </c>
      <c r="B88" s="3" t="s">
        <v>740</v>
      </c>
      <c r="C88" s="5" t="s">
        <v>741</v>
      </c>
      <c r="D88" s="5" t="s">
        <v>742</v>
      </c>
    </row>
    <row r="89" customFormat="false" ht="29.85" hidden="false" customHeight="false" outlineLevel="0" collapsed="false">
      <c r="A89" s="5" t="s">
        <v>743</v>
      </c>
      <c r="B89" s="3" t="s">
        <v>740</v>
      </c>
      <c r="C89" s="5" t="s">
        <v>744</v>
      </c>
      <c r="D89" s="5" t="s">
        <v>745</v>
      </c>
    </row>
    <row r="90" customFormat="false" ht="15" hidden="false" customHeight="false" outlineLevel="0" collapsed="false">
      <c r="A90" s="5" t="s">
        <v>746</v>
      </c>
      <c r="B90" s="3" t="s">
        <v>393</v>
      </c>
      <c r="C90" s="5" t="s">
        <v>747</v>
      </c>
      <c r="D90" s="5" t="s">
        <v>748</v>
      </c>
    </row>
    <row r="91" customFormat="false" ht="15" hidden="false" customHeight="false" outlineLevel="0" collapsed="false">
      <c r="A91" s="5" t="s">
        <v>749</v>
      </c>
      <c r="B91" s="3" t="s">
        <v>750</v>
      </c>
      <c r="C91" s="5" t="s">
        <v>751</v>
      </c>
      <c r="D91" s="3" t="s">
        <v>752</v>
      </c>
    </row>
    <row r="92" customFormat="false" ht="29.85" hidden="false" customHeight="false" outlineLevel="0" collapsed="false">
      <c r="A92" s="5" t="s">
        <v>753</v>
      </c>
      <c r="B92" s="3" t="s">
        <v>754</v>
      </c>
      <c r="C92" s="5" t="s">
        <v>426</v>
      </c>
      <c r="D92" s="3" t="s">
        <v>755</v>
      </c>
    </row>
    <row r="93" customFormat="false" ht="15" hidden="false" customHeight="false" outlineLevel="0" collapsed="false">
      <c r="A93" s="5" t="s">
        <v>756</v>
      </c>
      <c r="B93" s="3" t="s">
        <v>757</v>
      </c>
      <c r="C93" s="5" t="s">
        <v>758</v>
      </c>
      <c r="D93" s="5" t="s">
        <v>759</v>
      </c>
    </row>
    <row r="94" customFormat="false" ht="63.4" hidden="false" customHeight="false" outlineLevel="0" collapsed="false">
      <c r="A94" s="5" t="s">
        <v>760</v>
      </c>
      <c r="B94" s="5" t="s">
        <v>761</v>
      </c>
      <c r="C94" s="3" t="s">
        <v>319</v>
      </c>
      <c r="D94" s="3" t="s">
        <v>762</v>
      </c>
    </row>
    <row r="96" customFormat="false" ht="15" hidden="false" customHeight="false" outlineLevel="0" collapsed="false">
      <c r="A96" s="31" t="s">
        <v>763</v>
      </c>
      <c r="B96" s="32"/>
      <c r="C96" s="32"/>
      <c r="D96" s="32"/>
    </row>
    <row r="97" customFormat="false" ht="83.55" hidden="false" customHeight="false" outlineLevel="0" collapsed="false">
      <c r="A97" s="5" t="s">
        <v>764</v>
      </c>
      <c r="B97" s="3" t="s">
        <v>319</v>
      </c>
      <c r="C97" s="3" t="s">
        <v>319</v>
      </c>
      <c r="D97" s="3" t="s">
        <v>765</v>
      </c>
    </row>
    <row r="98" customFormat="false" ht="44" hidden="false" customHeight="false" outlineLevel="0" collapsed="false">
      <c r="A98" s="5" t="s">
        <v>766</v>
      </c>
      <c r="B98" s="3" t="s">
        <v>319</v>
      </c>
      <c r="C98" s="3" t="s">
        <v>319</v>
      </c>
      <c r="D98" s="3" t="s">
        <v>767</v>
      </c>
    </row>
    <row r="99" customFormat="false" ht="44" hidden="false" customHeight="false" outlineLevel="0" collapsed="false">
      <c r="A99" s="5" t="s">
        <v>768</v>
      </c>
      <c r="B99" s="3" t="s">
        <v>319</v>
      </c>
      <c r="C99" s="3" t="s">
        <v>319</v>
      </c>
      <c r="D99" s="5" t="s">
        <v>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2026-07-30T11:18:47Z</dcterms:created>
  <dc:creator>openpyxl</dc:creator>
  <dc:description/>
  <dc:language>en-US</dc:language>
  <cp:lastModifiedBy/>
  <dcterms:modified xsi:type="dcterms:W3CDTF">2026-07-30T11:18:47Z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